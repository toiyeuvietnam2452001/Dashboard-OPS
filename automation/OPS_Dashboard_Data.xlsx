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1.xml" ContentType="application/vnd.openxmlformats-officedocument.spreadsheetml.table+xml"/>
  <Override PartName="/xl/worksheets/sheet9.xml" ContentType="application/vnd.openxmlformats-officedocument.spreadsheetml.worksheet+xml"/>
  <Override PartName="/xl/tables/table2.xml" ContentType="application/vnd.openxmlformats-officedocument.spreadsheetml.table+xml"/>
  <Override PartName="/xl/worksheets/sheet10.xml" ContentType="application/vnd.openxmlformats-officedocument.spreadsheetml.worksheet+xml"/>
  <Override PartName="/xl/tables/table3.xml" ContentType="application/vnd.openxmlformats-officedocument.spreadsheetml.table+xml"/>
  <Override PartName="/xl/worksheets/sheet11.xml" ContentType="application/vnd.openxmlformats-officedocument.spreadsheetml.worksheet+xml"/>
  <Override PartName="/xl/tables/table4.xml" ContentType="application/vnd.openxmlformats-officedocument.spreadsheetml.table+xml"/>
  <Override PartName="/xl/worksheets/sheet12.xml" ContentType="application/vnd.openxmlformats-officedocument.spreadsheetml.worksheet+xml"/>
  <Override PartName="/xl/tables/table5.xml" ContentType="application/vnd.openxmlformats-officedocument.spreadsheetml.table+xml"/>
  <Override PartName="/xl/worksheets/sheet13.xml" ContentType="application/vnd.openxmlformats-officedocument.spreadsheetml.worksheet+xml"/>
  <Override PartName="/xl/tables/table6.xml" ContentType="application/vnd.openxmlformats-officedocument.spreadsheetml.table+xml"/>
  <Override PartName="/xl/worksheets/sheet14.xml" ContentType="application/vnd.openxmlformats-officedocument.spreadsheetml.worksheet+xml"/>
  <Override PartName="/xl/tables/table7.xml" ContentType="application/vnd.openxmlformats-officedocument.spreadsheetml.table+xml"/>
  <Override PartName="/xl/worksheets/sheet15.xml" ContentType="application/vnd.openxmlformats-officedocument.spreadsheetml.worksheet+xml"/>
  <Override PartName="/xl/tables/table8.xml" ContentType="application/vnd.openxmlformats-officedocument.spreadsheetml.table+xml"/>
  <Override PartName="/xl/worksheets/sheet16.xml" ContentType="application/vnd.openxmlformats-officedocument.spreadsheetml.worksheet+xml"/>
  <Override PartName="/xl/tables/table9.xml" ContentType="application/vnd.openxmlformats-officedocument.spreadsheetml.table+xml"/>
  <Override PartName="/xl/worksheets/sheet17.xml" ContentType="application/vnd.openxmlformats-officedocument.spreadsheetml.worksheet+xml"/>
  <Override PartName="/xl/tables/table10.xml" ContentType="application/vnd.openxmlformats-officedocument.spreadsheetml.table+xml"/>
  <Override PartName="/xl/worksheets/sheet18.xml" ContentType="application/vnd.openxmlformats-officedocument.spreadsheetml.worksheet+xml"/>
  <Override PartName="/xl/tables/table11.xml" ContentType="application/vnd.openxmlformats-officedocument.spreadsheetml.table+xml"/>
  <Override PartName="/xl/worksheets/sheet19.xml" ContentType="application/vnd.openxmlformats-officedocument.spreadsheetml.worksheet+xml"/>
  <Override PartName="/xl/tables/table12.xml" ContentType="application/vnd.openxmlformats-officedocument.spreadsheetml.table+xml"/>
  <Override PartName="/xl/worksheets/sheet20.xml" ContentType="application/vnd.openxmlformats-officedocument.spreadsheetml.worksheet+xml"/>
  <Override PartName="/xl/tables/table13.xml" ContentType="application/vnd.openxmlformats-officedocument.spreadsheetml.table+xml"/>
  <Override PartName="/xl/worksheets/sheet21.xml" ContentType="application/vnd.openxmlformats-officedocument.spreadsheetml.worksheet+xml"/>
  <Override PartName="/xl/tables/table14.xml" ContentType="application/vnd.openxmlformats-officedocument.spreadsheetml.table+xml"/>
  <Override PartName="/xl/worksheets/sheet22.xml" ContentType="application/vnd.openxmlformats-officedocument.spreadsheetml.worksheet+xml"/>
  <Override PartName="/xl/tables/table15.xml" ContentType="application/vnd.openxmlformats-officedocument.spreadsheetml.table+xml"/>
  <Override PartName="/xl/worksheets/sheet23.xml" ContentType="application/vnd.openxmlformats-officedocument.spreadsheetml.worksheet+xml"/>
  <Override PartName="/xl/tables/table16.xml" ContentType="application/vnd.openxmlformats-officedocument.spreadsheetml.table+xml"/>
  <Override PartName="/xl/worksheets/sheet24.xml" ContentType="application/vnd.openxmlformats-officedocument.spreadsheetml.worksheet+xml"/>
  <Override PartName="/xl/tables/table17.xml" ContentType="application/vnd.openxmlformats-officedocument.spreadsheetml.table+xml"/>
  <Override PartName="/xl/worksheets/sheet25.xml" ContentType="application/vnd.openxmlformats-officedocument.spreadsheetml.worksheet+xml"/>
  <Override PartName="/xl/tables/table18.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Manpower &amp; Training" sheetId="2" state="visible" r:id="rId2"/>
    <sheet xmlns:r="http://schemas.openxmlformats.org/officeDocument/2006/relationships" name="ORR" sheetId="3" state="visible" r:id="rId3"/>
    <sheet xmlns:r="http://schemas.openxmlformats.org/officeDocument/2006/relationships" name="Procedures" sheetId="4" state="visible" r:id="rId4"/>
    <sheet xmlns:r="http://schemas.openxmlformats.org/officeDocument/2006/relationships" name="Contracts &amp; Permits" sheetId="5" state="visible" r:id="rId5"/>
    <sheet xmlns:r="http://schemas.openxmlformats.org/officeDocument/2006/relationships" name="Commissioning" sheetId="6" state="visible" r:id="rId6"/>
    <sheet xmlns:r="http://schemas.openxmlformats.org/officeDocument/2006/relationships" name="Huong dan" sheetId="7" state="visible" r:id="rId7"/>
    <sheet xmlns:r="http://schemas.openxmlformats.org/officeDocument/2006/relationships" name="Thong tin" sheetId="8" state="visible" r:id="rId8"/>
    <sheet xmlns:r="http://schemas.openxmlformats.org/officeDocument/2006/relationships" name="Nhan su theo thang" sheetId="9" state="visible" r:id="rId9"/>
    <sheet xmlns:r="http://schemas.openxmlformats.org/officeDocument/2006/relationships" name="Dinh bien" sheetId="10" state="visible" r:id="rId10"/>
    <sheet xmlns:r="http://schemas.openxmlformats.org/officeDocument/2006/relationships" name="CBTA" sheetId="11" state="visible" r:id="rId11"/>
    <sheet xmlns:r="http://schemas.openxmlformats.org/officeDocument/2006/relationships" name="Dao tao bat buoc" sheetId="12" state="visible" r:id="rId12"/>
    <sheet xmlns:r="http://schemas.openxmlformats.org/officeDocument/2006/relationships" name="Dao tao vendor" sheetId="13" state="visible" r:id="rId13"/>
    <sheet xmlns:r="http://schemas.openxmlformats.org/officeDocument/2006/relationships" name="ORR theo team" sheetId="14" state="visible" r:id="rId14"/>
    <sheet xmlns:r="http://schemas.openxmlformats.org/officeDocument/2006/relationships" name="ORR theo thang" sheetId="15" state="visible" r:id="rId15"/>
    <sheet xmlns:r="http://schemas.openxmlformats.org/officeDocument/2006/relationships" name="ORR hang muc" sheetId="16" state="visible" r:id="rId16"/>
    <sheet xmlns:r="http://schemas.openxmlformats.org/officeDocument/2006/relationships" name="ORR tong nhom" sheetId="17" state="visible" r:id="rId17"/>
    <sheet xmlns:r="http://schemas.openxmlformats.org/officeDocument/2006/relationships" name="Quy trinh" sheetId="18" state="visible" r:id="rId18"/>
    <sheet xmlns:r="http://schemas.openxmlformats.org/officeDocument/2006/relationships" name="Goi chua co PR" sheetId="19" state="visible" r:id="rId19"/>
    <sheet xmlns:r="http://schemas.openxmlformats.org/officeDocument/2006/relationships" name="PR dang xu ly" sheetId="20" state="visible" r:id="rId20"/>
    <sheet xmlns:r="http://schemas.openxmlformats.org/officeDocument/2006/relationships" name="CMMS" sheetId="21" state="visible" r:id="rId21"/>
    <sheet xmlns:r="http://schemas.openxmlformats.org/officeDocument/2006/relationships" name="Trang thai cong viec" sheetId="22" state="visible" r:id="rId22"/>
    <sheet xmlns:r="http://schemas.openxmlformats.org/officeDocument/2006/relationships" name="Giay phep" sheetId="23" state="visible" r:id="rId23"/>
    <sheet xmlns:r="http://schemas.openxmlformats.org/officeDocument/2006/relationships" name="Pre-com" sheetId="24" state="visible" r:id="rId24"/>
    <sheet xmlns:r="http://schemas.openxmlformats.org/officeDocument/2006/relationships" name="Trinh tu khoi dong" sheetId="25" state="visible" r:id="rId25"/>
  </sheets>
  <definedNames/>
  <calcPr calcId="124519" fullCalcOnLoad="1"/>
</workbook>
</file>

<file path=xl/styles.xml><?xml version="1.0" encoding="utf-8"?>
<styleSheet xmlns="http://schemas.openxmlformats.org/spreadsheetml/2006/main">
  <numFmts count="5">
    <numFmt numFmtId="164" formatCode="0.0%"/>
    <numFmt numFmtId="165" formatCode="+0.0;-0.0;0.0"/>
    <numFmt numFmtId="166" formatCode="d mmm yyyy"/>
    <numFmt numFmtId="167" formatCode="d mmm"/>
    <numFmt numFmtId="168" formatCode="d mmm yy"/>
  </numFmts>
  <fonts count="17">
    <font>
      <name val="Calibri"/>
      <family val="2"/>
      <color theme="1"/>
      <sz val="11"/>
      <scheme val="minor"/>
    </font>
    <font>
      <b val="1"/>
      <color rgb="00FFFFFF"/>
    </font>
    <font>
      <b val="1"/>
      <sz val="14"/>
    </font>
    <font>
      <b val="1"/>
    </font>
    <font>
      <name val="Calibri"/>
      <color rgb="001B2430"/>
      <sz val="20"/>
    </font>
    <font>
      <name val="Calibri"/>
      <i val="1"/>
      <color rgb="005D6878"/>
      <sz val="10"/>
    </font>
    <font>
      <name val="Calibri"/>
      <color rgb="001B2430"/>
      <sz val="11"/>
    </font>
    <font>
      <name val="Calibri"/>
      <color rgb="005D6878"/>
      <sz val="9"/>
    </font>
    <font>
      <name val="Calibri"/>
      <color rgb="001B2430"/>
      <sz val="22"/>
    </font>
    <font>
      <name val="Calibri"/>
      <b val="1"/>
      <color rgb="001B2430"/>
      <sz val="13"/>
    </font>
    <font>
      <name val="Calibri"/>
      <i val="1"/>
      <color rgb="005D6878"/>
      <sz val="9"/>
    </font>
    <font>
      <name val="Calibri"/>
      <b val="1"/>
      <color rgb="005D6878"/>
      <sz val="9"/>
    </font>
    <font>
      <name val="Calibri"/>
      <color rgb="001B2430"/>
      <sz val="10"/>
    </font>
    <font>
      <name val="Calibri"/>
      <b val="1"/>
      <color rgb="001B2430"/>
      <sz val="10"/>
    </font>
    <font>
      <name val="Calibri"/>
      <color rgb="00FFFFFF"/>
      <sz val="10"/>
    </font>
    <font>
      <name val="Calibri"/>
      <color rgb="005D6878"/>
      <sz val="8"/>
    </font>
    <font>
      <name val="Calibri"/>
      <color rgb="001B2430"/>
      <sz val="9"/>
    </font>
  </fonts>
  <fills count="6">
    <fill>
      <patternFill/>
    </fill>
    <fill>
      <patternFill patternType="gray125"/>
    </fill>
    <fill>
      <patternFill patternType="solid">
        <fgColor rgb="001F4E79"/>
      </patternFill>
    </fill>
    <fill>
      <patternFill patternType="solid">
        <fgColor rgb="00F3F5F8"/>
      </patternFill>
    </fill>
    <fill>
      <patternFill patternType="solid">
        <fgColor rgb="00FFFFFF"/>
      </patternFill>
    </fill>
    <fill>
      <patternFill patternType="solid">
        <fgColor rgb="00E8EEF5"/>
      </patternFill>
    </fill>
  </fills>
  <borders count="12">
    <border>
      <left/>
      <right/>
      <top/>
      <bottom/>
      <diagonal/>
    </border>
    <border>
      <left style="thin">
        <color rgb="00E1E5EB"/>
      </left>
      <top style="thin">
        <color rgb="00E1E5EB"/>
      </top>
    </border>
    <border>
      <top style="thin">
        <color rgb="00E1E5EB"/>
      </top>
    </border>
    <border>
      <right style="thin">
        <color rgb="00E1E5EB"/>
      </right>
      <top style="thin">
        <color rgb="00E1E5EB"/>
      </top>
    </border>
    <border>
      <left style="thin">
        <color rgb="00E1E5EB"/>
      </left>
    </border>
    <border/>
    <border>
      <right style="thin">
        <color rgb="00E1E5EB"/>
      </right>
    </border>
    <border>
      <left style="thin">
        <color rgb="00E1E5EB"/>
      </left>
      <bottom style="thin">
        <color rgb="00E1E5EB"/>
      </bottom>
    </border>
    <border>
      <bottom style="thin">
        <color rgb="00E1E5EB"/>
      </bottom>
    </border>
    <border>
      <right style="thin">
        <color rgb="00E1E5EB"/>
      </right>
      <bottom style="thin">
        <color rgb="00E1E5EB"/>
      </bottom>
    </border>
    <border>
      <left/>
      <right/>
      <top/>
      <bottom style="thin">
        <color rgb="00E1E5EB"/>
      </bottom>
      <diagonal/>
    </border>
    <border>
      <right/>
      <bottom style="thin">
        <color rgb="00E1E5EB"/>
      </bottom>
    </border>
  </borders>
  <cellStyleXfs count="1">
    <xf numFmtId="0" fontId="0" fillId="0" borderId="0"/>
  </cellStyleXfs>
  <cellXfs count="49">
    <xf numFmtId="0" fontId="0" fillId="0" borderId="0" pivotButton="0" quotePrefix="0" xfId="0"/>
    <xf numFmtId="0" fontId="2" fillId="0" borderId="0" pivotButton="0" quotePrefix="0" xfId="0"/>
    <xf numFmtId="0" fontId="3" fillId="0" borderId="0" pivotButton="0" quotePrefix="0" xfId="0"/>
    <xf numFmtId="0" fontId="1" fillId="2" borderId="0" pivotButton="0" quotePrefix="0" xfId="0"/>
    <xf numFmtId="0" fontId="0" fillId="0" borderId="0" applyAlignment="1" pivotButton="0" quotePrefix="0" xfId="0">
      <alignment vertical="top" wrapText="1"/>
    </xf>
    <xf numFmtId="49" fontId="0" fillId="0" borderId="0" pivotButton="0" quotePrefix="0" xfId="0"/>
    <xf numFmtId="0" fontId="0" fillId="3" borderId="0" pivotButton="0" quotePrefix="0" xfId="0"/>
    <xf numFmtId="0" fontId="4" fillId="3" borderId="0" pivotButton="0" quotePrefix="0" xfId="0"/>
    <xf numFmtId="0" fontId="5" fillId="3" borderId="0" pivotButton="0" quotePrefix="0" xfId="0"/>
    <xf numFmtId="0" fontId="6" fillId="3" borderId="0" pivotButton="0" quotePrefix="0" xfId="0"/>
    <xf numFmtId="0" fontId="7" fillId="4" borderId="1" applyAlignment="1" pivotButton="0" quotePrefix="0" xfId="0">
      <alignment horizontal="left" vertical="center" wrapText="1" indent="1"/>
    </xf>
    <xf numFmtId="0" fontId="0" fillId="4" borderId="2" pivotButton="0" quotePrefix="0" xfId="0"/>
    <xf numFmtId="0" fontId="0" fillId="4" borderId="3" pivotButton="0" quotePrefix="0" xfId="0"/>
    <xf numFmtId="3" fontId="8" fillId="4" borderId="4" applyAlignment="1" pivotButton="0" quotePrefix="0" xfId="0">
      <alignment horizontal="left" vertical="center" wrapText="1" indent="1"/>
    </xf>
    <xf numFmtId="0" fontId="0" fillId="4" borderId="5" pivotButton="0" quotePrefix="0" xfId="0"/>
    <xf numFmtId="0" fontId="0" fillId="4" borderId="6" pivotButton="0" quotePrefix="0" xfId="0"/>
    <xf numFmtId="164" fontId="8" fillId="4" borderId="4" applyAlignment="1" pivotButton="0" quotePrefix="0" xfId="0">
      <alignment horizontal="left" vertical="center" wrapText="1" indent="1"/>
    </xf>
    <xf numFmtId="9" fontId="8" fillId="4" borderId="4" applyAlignment="1" pivotButton="0" quotePrefix="0" xfId="0">
      <alignment horizontal="left" vertical="center" wrapText="1" indent="1"/>
    </xf>
    <xf numFmtId="0" fontId="8" fillId="4" borderId="4" applyAlignment="1" pivotButton="0" quotePrefix="0" xfId="0">
      <alignment horizontal="left" vertical="center" wrapText="1" indent="1"/>
    </xf>
    <xf numFmtId="0" fontId="7" fillId="4" borderId="7" applyAlignment="1" pivotButton="0" quotePrefix="0" xfId="0">
      <alignment horizontal="left" vertical="center" wrapText="1" indent="1"/>
    </xf>
    <xf numFmtId="0" fontId="0" fillId="4" borderId="8" pivotButton="0" quotePrefix="0" xfId="0"/>
    <xf numFmtId="0" fontId="0" fillId="4" borderId="9" pivotButton="0" quotePrefix="0" xfId="0"/>
    <xf numFmtId="0" fontId="9" fillId="3" borderId="0" pivotButton="0" quotePrefix="0" xfId="0"/>
    <xf numFmtId="0" fontId="10" fillId="3" borderId="0" pivotButton="0" quotePrefix="0" xfId="0"/>
    <xf numFmtId="0" fontId="11" fillId="5" borderId="8" applyAlignment="1" pivotButton="0" quotePrefix="0" xfId="0">
      <alignment vertical="center" wrapText="1"/>
    </xf>
    <xf numFmtId="0" fontId="12" fillId="4" borderId="8" applyAlignment="1" pivotButton="0" quotePrefix="0" xfId="0">
      <alignment vertical="top"/>
    </xf>
    <xf numFmtId="3" fontId="12" fillId="4" borderId="8" applyAlignment="1" pivotButton="0" quotePrefix="0" xfId="0">
      <alignment vertical="top"/>
    </xf>
    <xf numFmtId="9" fontId="12" fillId="4" borderId="8" applyAlignment="1" pivotButton="0" quotePrefix="0" xfId="0">
      <alignment vertical="top"/>
    </xf>
    <xf numFmtId="0" fontId="7" fillId="3" borderId="0" pivotButton="0" quotePrefix="0" xfId="0"/>
    <xf numFmtId="164" fontId="12" fillId="4" borderId="8" applyAlignment="1" pivotButton="0" quotePrefix="0" xfId="0">
      <alignment vertical="top"/>
    </xf>
    <xf numFmtId="0" fontId="13" fillId="3" borderId="0" pivotButton="0" quotePrefix="0" xfId="0"/>
    <xf numFmtId="3" fontId="13" fillId="3" borderId="0" pivotButton="0" quotePrefix="0" xfId="0"/>
    <xf numFmtId="9" fontId="13" fillId="3" borderId="0" pivotButton="0" quotePrefix="0" xfId="0"/>
    <xf numFmtId="0" fontId="0" fillId="0" borderId="10" pivotButton="0" quotePrefix="0" xfId="0"/>
    <xf numFmtId="0" fontId="12" fillId="4" borderId="11" applyAlignment="1" pivotButton="0" quotePrefix="0" xfId="0">
      <alignment vertical="top"/>
    </xf>
    <xf numFmtId="165" fontId="12" fillId="4" borderId="8" applyAlignment="1" pivotButton="0" quotePrefix="0" xfId="0">
      <alignment vertical="top"/>
    </xf>
    <xf numFmtId="0" fontId="12" fillId="4" borderId="8" applyAlignment="1" pivotButton="0" quotePrefix="0" xfId="0">
      <alignment vertical="top" wrapText="1"/>
    </xf>
    <xf numFmtId="0" fontId="12" fillId="4" borderId="11" applyAlignment="1" pivotButton="0" quotePrefix="0" xfId="0">
      <alignment vertical="top" wrapText="1"/>
    </xf>
    <xf numFmtId="9" fontId="12" fillId="4" borderId="8" applyAlignment="1" pivotButton="0" quotePrefix="0" xfId="0">
      <alignment vertical="top" wrapText="1"/>
    </xf>
    <xf numFmtId="0" fontId="14" fillId="3" borderId="0" pivotButton="0" quotePrefix="0" xfId="0"/>
    <xf numFmtId="0" fontId="12" fillId="4" borderId="8" pivotButton="0" quotePrefix="0" xfId="0"/>
    <xf numFmtId="0" fontId="13" fillId="4" borderId="8" applyAlignment="1" pivotButton="0" quotePrefix="0" xfId="0">
      <alignment vertical="top" wrapText="1"/>
    </xf>
    <xf numFmtId="166" fontId="13" fillId="3" borderId="0" pivotButton="0" quotePrefix="0" xfId="0"/>
    <xf numFmtId="167" fontId="15" fillId="5" borderId="0" applyAlignment="1" pivotButton="0" quotePrefix="0" xfId="0">
      <alignment horizontal="center" textRotation="90"/>
    </xf>
    <xf numFmtId="0" fontId="16" fillId="4" borderId="8" applyAlignment="1" pivotButton="0" quotePrefix="0" xfId="0">
      <alignment vertical="center" wrapText="1"/>
    </xf>
    <xf numFmtId="168" fontId="16" fillId="4" borderId="8" applyAlignment="1" pivotButton="0" quotePrefix="0" xfId="0">
      <alignment vertical="center"/>
    </xf>
    <xf numFmtId="0" fontId="16" fillId="4" borderId="8" applyAlignment="1" pivotButton="0" quotePrefix="0" xfId="0">
      <alignment vertical="center"/>
    </xf>
    <xf numFmtId="0" fontId="12" fillId="3" borderId="0" pivotButton="0" quotePrefix="0" xfId="0"/>
    <xf numFmtId="0" fontId="12" fillId="3" borderId="0" applyAlignment="1" pivotButton="0" quotePrefix="0" xfId="0">
      <alignment vertical="top" wrapText="1"/>
    </xf>
  </cellXfs>
  <cellStyles count="1">
    <cellStyle name="Normal" xfId="0" builtinId="0" hidden="0"/>
  </cellStyles>
  <dxfs count="7">
    <dxf>
      <font>
        <b val="1"/>
        <color rgb="00D1495B"/>
      </font>
    </dxf>
    <dxf>
      <font>
        <b val="1"/>
        <color rgb="001F7A4D"/>
      </font>
    </dxf>
    <dxf>
      <font>
        <b val="1"/>
        <color rgb="00A8650A"/>
      </font>
    </dxf>
    <dxf>
      <fill>
        <patternFill patternType="solid">
          <fgColor rgb="005CC28D"/>
        </patternFill>
      </fill>
    </dxf>
    <dxf>
      <fill>
        <patternFill patternType="solid">
          <fgColor rgb="00D1495B"/>
        </patternFill>
      </fill>
    </dxf>
    <dxf>
      <fill>
        <patternFill patternType="solid">
          <fgColor rgb="009DB9D6"/>
        </patternFill>
      </fill>
    </dxf>
    <dxf>
      <border>
        <left style="medium">
          <color rgb="001B2430"/>
        </left>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Manpower ramp-up: plan vs actual (headcount)</a:t>
            </a:r>
          </a:p>
        </rich>
      </tx>
    </title>
    <plotArea>
      <lineChart>
        <grouping val="standard"/>
        <ser>
          <idx val="0"/>
          <order val="0"/>
          <tx>
            <v>Plan</v>
          </tx>
          <spPr>
            <a:ln xmlns:a="http://schemas.openxmlformats.org/drawingml/2006/main" w="22000">
              <a:solidFill>
                <a:srgbClr val="9AA5B4"/>
              </a:solidFill>
              <a:prstDash val="dash"/>
            </a:ln>
          </spPr>
          <marker>
            <symbol val="none"/>
            <spPr>
              <a:ln xmlns:a="http://schemas.openxmlformats.org/drawingml/2006/main">
                <a:prstDash val="solid"/>
              </a:ln>
            </spPr>
          </marker>
          <cat>
            <numRef>
              <f>'Nhan su theo thang'!$A$2:$A$61</f>
            </numRef>
          </cat>
          <val>
            <numRef>
              <f>'Nhan su theo thang'!$F$2:$F$61</f>
            </numRef>
          </val>
          <smooth val="0"/>
        </ser>
        <ser>
          <idx val="1"/>
          <order val="1"/>
          <tx>
            <v>Actual</v>
          </tx>
          <spPr>
            <a:ln xmlns:a="http://schemas.openxmlformats.org/drawingml/2006/main" w="22000">
              <a:solidFill>
                <a:srgbClr val="1F6FB2"/>
              </a:solidFill>
              <a:prstDash val="solid"/>
            </a:ln>
          </spPr>
          <marker>
            <symbol val="none"/>
            <spPr>
              <a:ln xmlns:a="http://schemas.openxmlformats.org/drawingml/2006/main">
                <a:prstDash val="solid"/>
              </a:ln>
            </spPr>
          </marker>
          <cat>
            <numRef>
              <f>'Nhan su theo thang'!$A$2:$A$61</f>
            </numRef>
          </cat>
          <val>
            <numRef>
              <f>'Nhan su theo thang'!$G$2:$G$61</f>
            </numRef>
          </val>
          <smooth val="0"/>
        </ser>
        <axId val="10"/>
        <axId val="100"/>
      </lineChart>
      <catAx>
        <axId val="10"/>
        <scaling>
          <orientation val="minMax"/>
        </scaling>
        <delete val="0"/>
        <axPos val="l"/>
        <numFmt formatCode="@" sourceLinked="0"/>
        <majorTickMark val="none"/>
        <minorTickMark val="none"/>
        <crossAx val="100"/>
        <auto val="0"/>
        <lblOffset val="100"/>
        <tickLblSkip val="6"/>
      </catAx>
      <valAx>
        <axId val="100"/>
        <scaling>
          <orientation val="minMax"/>
        </scaling>
        <delete val="0"/>
        <axPos val="l"/>
        <title>
          <tx>
            <rich>
              <a:bodyPr xmlns:a="http://schemas.openxmlformats.org/drawingml/2006/main"/>
              <a:p xmlns:a="http://schemas.openxmlformats.org/drawingml/2006/main">
                <a:pPr>
                  <a:defRPr/>
                </a:pPr>
                <a:r>
                  <a:t>People</a:t>
                </a:r>
              </a:p>
            </rich>
          </tx>
        </title>
        <majorTickMark val="none"/>
        <minorTickMark val="none"/>
        <crossAx val="10"/>
      </valAx>
    </plotArea>
    <legend>
      <legendPos val="b"/>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OPS teams ORR checklist vs plan (%)</a:t>
            </a:r>
          </a:p>
        </rich>
      </tx>
    </title>
    <plotArea>
      <lineChart>
        <grouping val="standard"/>
        <ser>
          <idx val="0"/>
          <order val="0"/>
          <tx>
            <v>Plan</v>
          </tx>
          <spPr>
            <a:ln xmlns:a="http://schemas.openxmlformats.org/drawingml/2006/main" w="22000">
              <a:solidFill>
                <a:srgbClr val="9AA5B4"/>
              </a:solidFill>
              <a:prstDash val="dash"/>
            </a:ln>
          </spPr>
          <marker>
            <symbol val="circle"/>
            <size val="6"/>
            <spPr>
              <a:solidFill xmlns:a="http://schemas.openxmlformats.org/drawingml/2006/main">
                <a:srgbClr val="9AA5B4"/>
              </a:solidFill>
              <a:ln xmlns:a="http://schemas.openxmlformats.org/drawingml/2006/main">
                <a:solidFill>
                  <a:srgbClr val="9AA5B4"/>
                </a:solidFill>
                <a:prstDash val="solid"/>
              </a:ln>
            </spPr>
          </marker>
          <cat>
            <numRef>
              <f>'ORR theo thang'!$A$2:$A$10</f>
            </numRef>
          </cat>
          <val>
            <numRef>
              <f>'ORR theo thang'!$B$2:$B$10</f>
            </numRef>
          </val>
          <smooth val="0"/>
        </ser>
        <ser>
          <idx val="1"/>
          <order val="1"/>
          <tx>
            <v>Actual</v>
          </tx>
          <spPr>
            <a:ln xmlns:a="http://schemas.openxmlformats.org/drawingml/2006/main" w="22000">
              <a:solidFill>
                <a:srgbClr val="1F6FB2"/>
              </a:solidFill>
              <a:prstDash val="solid"/>
            </a:ln>
          </spPr>
          <marker>
            <symbol val="circle"/>
            <size val="6"/>
            <spPr>
              <a:solidFill xmlns:a="http://schemas.openxmlformats.org/drawingml/2006/main">
                <a:srgbClr val="1F6FB2"/>
              </a:solidFill>
              <a:ln xmlns:a="http://schemas.openxmlformats.org/drawingml/2006/main">
                <a:solidFill>
                  <a:srgbClr val="1F6FB2"/>
                </a:solidFill>
                <a:prstDash val="solid"/>
              </a:ln>
            </spPr>
          </marker>
          <cat>
            <numRef>
              <f>'ORR theo thang'!$A$2:$A$10</f>
            </numRef>
          </cat>
          <val>
            <numRef>
              <f>'ORR theo thang'!$C$2:$C$10</f>
            </numRef>
          </val>
          <smooth val="0"/>
        </ser>
        <axId val="10"/>
        <axId val="100"/>
      </lineChart>
      <catAx>
        <axId val="10"/>
        <scaling>
          <orientation val="minMax"/>
        </scaling>
        <delete val="0"/>
        <axPos val="l"/>
        <numFmt formatCode="@" sourceLinked="0"/>
        <majorTickMark val="none"/>
        <minorTickMark val="none"/>
        <crossAx val="100"/>
        <auto val="0"/>
        <lblOffset val="100"/>
      </catAx>
      <valAx>
        <axId val="100"/>
        <scaling>
          <orientation val="minMax"/>
          <max val="100"/>
          <min val="0"/>
        </scaling>
        <delete val="0"/>
        <axPos val="l"/>
        <title>
          <tx>
            <rich>
              <a:bodyPr xmlns:a="http://schemas.openxmlformats.org/drawingml/2006/main"/>
              <a:p xmlns:a="http://schemas.openxmlformats.org/drawingml/2006/main">
                <a:pPr>
                  <a:defRPr/>
                </a:pPr>
                <a:r>
                  <a:t>%</a:t>
                </a:r>
              </a:p>
            </rich>
          </tx>
        </title>
        <majorTickMark val="none"/>
        <minorTickMark val="none"/>
        <crossAx val="10"/>
      </valAx>
    </plotArea>
    <legend>
      <legendPos val="b"/>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CBTA modules by status</a:t>
            </a:r>
          </a:p>
        </rich>
      </tx>
    </title>
    <plotArea>
      <barChart>
        <barDir val="bar"/>
        <grouping val="stacked"/>
        <ser>
          <idx val="0"/>
          <order val="0"/>
          <tx>
            <v>Completed</v>
          </tx>
          <spPr>
            <a:solidFill xmlns:a="http://schemas.openxmlformats.org/drawingml/2006/main">
              <a:srgbClr val="1F6FB2"/>
            </a:solidFill>
            <a:ln xmlns:a="http://schemas.openxmlformats.org/drawingml/2006/main">
              <a:solidFill>
                <a:srgbClr val="1F6FB2"/>
              </a:solidFill>
              <a:prstDash val="solid"/>
            </a:ln>
          </spPr>
          <cat>
            <numRef>
              <f>'Manpower &amp; Training'!$W$7:$W$13</f>
            </numRef>
          </cat>
          <val>
            <numRef>
              <f>'Manpower &amp; Training'!$M$7:$M$13</f>
            </numRef>
          </val>
        </ser>
        <ser>
          <idx val="1"/>
          <order val="1"/>
          <tx>
            <v>In review</v>
          </tx>
          <spPr>
            <a:solidFill xmlns:a="http://schemas.openxmlformats.org/drawingml/2006/main">
              <a:srgbClr val="E0A526"/>
            </a:solidFill>
            <a:ln xmlns:a="http://schemas.openxmlformats.org/drawingml/2006/main">
              <a:solidFill>
                <a:srgbClr val="E0A526"/>
              </a:solidFill>
              <a:prstDash val="solid"/>
            </a:ln>
          </spPr>
          <cat>
            <numRef>
              <f>'Manpower &amp; Training'!$W$7:$W$13</f>
            </numRef>
          </cat>
          <val>
            <numRef>
              <f>'Manpower &amp; Training'!$O$7:$O$13</f>
            </numRef>
          </val>
        </ser>
        <ser>
          <idx val="2"/>
          <order val="2"/>
          <tx>
            <v>In development</v>
          </tx>
          <spPr>
            <a:solidFill xmlns:a="http://schemas.openxmlformats.org/drawingml/2006/main">
              <a:srgbClr val="9AA5B4"/>
            </a:solidFill>
            <a:ln xmlns:a="http://schemas.openxmlformats.org/drawingml/2006/main">
              <a:solidFill>
                <a:srgbClr val="9AA5B4"/>
              </a:solidFill>
              <a:prstDash val="solid"/>
            </a:ln>
          </spPr>
          <cat>
            <numRef>
              <f>'Manpower &amp; Training'!$W$7:$W$13</f>
            </numRef>
          </cat>
          <val>
            <numRef>
              <f>'Manpower &amp; Training'!$N$7:$N$13</f>
            </numRef>
          </val>
        </ser>
        <gapWidth val="150"/>
        <overlap val="100"/>
        <axId val="10"/>
        <axId val="100"/>
      </barChart>
      <catAx>
        <axId val="10"/>
        <scaling>
          <orientation val="maxMin"/>
        </scaling>
        <delete val="0"/>
        <axPos val="l"/>
        <majorTickMark val="none"/>
        <minorTickMark val="none"/>
        <crossAx val="100"/>
        <lblOffset val="100"/>
      </catAx>
      <valAx>
        <axId val="100"/>
        <scaling>
          <orientation val="minMax"/>
        </scaling>
        <delete val="0"/>
        <axPos val="l"/>
        <majorTickMark val="none"/>
        <minorTickMark val="none"/>
        <crossAx val="10"/>
      </valAx>
    </plotArea>
    <legend>
      <legendPos val="b"/>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Plan vs actual by team (%)</a:t>
            </a:r>
          </a:p>
        </rich>
      </tx>
    </title>
    <plotArea>
      <barChart>
        <barDir val="bar"/>
        <grouping val="clustered"/>
        <ser>
          <idx val="0"/>
          <order val="0"/>
          <tx>
            <v>Plan %</v>
          </tx>
          <spPr>
            <a:solidFill xmlns:a="http://schemas.openxmlformats.org/drawingml/2006/main">
              <a:srgbClr val="9AA5B4"/>
            </a:solidFill>
            <a:ln xmlns:a="http://schemas.openxmlformats.org/drawingml/2006/main">
              <a:solidFill>
                <a:srgbClr val="9AA5B4"/>
              </a:solidFill>
              <a:prstDash val="solid"/>
            </a:ln>
          </spPr>
          <cat>
            <numRef>
              <f>'ORR theo team'!$A$2:$A$10</f>
            </numRef>
          </cat>
          <val>
            <numRef>
              <f>'ORR theo team'!$E$2:$E$10</f>
            </numRef>
          </val>
        </ser>
        <ser>
          <idx val="1"/>
          <order val="1"/>
          <tx>
            <v>Actual %</v>
          </tx>
          <spPr>
            <a:solidFill xmlns:a="http://schemas.openxmlformats.org/drawingml/2006/main">
              <a:srgbClr val="1F6FB2"/>
            </a:solidFill>
            <a:ln xmlns:a="http://schemas.openxmlformats.org/drawingml/2006/main">
              <a:solidFill>
                <a:srgbClr val="1F6FB2"/>
              </a:solidFill>
              <a:prstDash val="solid"/>
            </a:ln>
          </spPr>
          <cat>
            <numRef>
              <f>'ORR theo team'!$A$2:$A$10</f>
            </numRef>
          </cat>
          <val>
            <numRef>
              <f>'ORR theo team'!$F$2:$F$10</f>
            </numRef>
          </val>
        </ser>
        <gapWidth val="150"/>
        <axId val="10"/>
        <axId val="100"/>
      </barChart>
      <catAx>
        <axId val="10"/>
        <scaling>
          <orientation val="maxMin"/>
        </scaling>
        <delete val="0"/>
        <axPos val="l"/>
        <majorTickMark val="none"/>
        <minorTickMark val="none"/>
        <crossAx val="100"/>
        <lblOffset val="100"/>
      </catAx>
      <valAx>
        <axId val="100"/>
        <scaling>
          <orientation val="minMax"/>
          <max val="100"/>
          <min val="0"/>
        </scaling>
        <delete val="0"/>
        <axPos val="l"/>
        <majorTickMark val="none"/>
        <minorTickMark val="none"/>
        <crossAx val="10"/>
      </valAx>
    </plotArea>
    <legend>
      <legendPos val="b"/>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PRs by stage</a:t>
            </a:r>
          </a:p>
        </rich>
      </tx>
    </title>
    <plotArea>
      <barChart>
        <barDir val="bar"/>
        <grouping val="stacked"/>
        <ser>
          <idx val="0"/>
          <order val="0"/>
          <tx>
            <strRef>
              <f>'Contracts &amp; Permits'!D6</f>
            </strRef>
          </tx>
          <spPr>
            <a:solidFill xmlns:a="http://schemas.openxmlformats.org/drawingml/2006/main">
              <a:srgbClr val="D1495B"/>
            </a:solidFill>
            <a:ln xmlns:a="http://schemas.openxmlformats.org/drawingml/2006/main">
              <a:solidFill>
                <a:srgbClr val="D1495B"/>
              </a:solidFill>
              <a:prstDash val="solid"/>
            </a:ln>
          </spPr>
          <cat>
            <numRef>
              <f>'Contracts &amp; Permits'!$B$7:$B$12</f>
            </numRef>
          </cat>
          <val>
            <numRef>
              <f>'Contracts &amp; Permits'!$D$7:$D$12</f>
            </numRef>
          </val>
        </ser>
        <ser>
          <idx val="1"/>
          <order val="1"/>
          <tx>
            <strRef>
              <f>'Contracts &amp; Permits'!E6</f>
            </strRef>
          </tx>
          <spPr>
            <a:solidFill xmlns:a="http://schemas.openxmlformats.org/drawingml/2006/main">
              <a:srgbClr val="E0A526"/>
            </a:solidFill>
            <a:ln xmlns:a="http://schemas.openxmlformats.org/drawingml/2006/main">
              <a:solidFill>
                <a:srgbClr val="E0A526"/>
              </a:solidFill>
              <a:prstDash val="solid"/>
            </a:ln>
          </spPr>
          <cat>
            <numRef>
              <f>'Contracts &amp; Permits'!$B$7:$B$12</f>
            </numRef>
          </cat>
          <val>
            <numRef>
              <f>'Contracts &amp; Permits'!$E$7:$E$12</f>
            </numRef>
          </val>
        </ser>
        <ser>
          <idx val="2"/>
          <order val="2"/>
          <tx>
            <strRef>
              <f>'Contracts &amp; Permits'!F6</f>
            </strRef>
          </tx>
          <spPr>
            <a:solidFill xmlns:a="http://schemas.openxmlformats.org/drawingml/2006/main">
              <a:srgbClr val="1F6FB2"/>
            </a:solidFill>
            <a:ln xmlns:a="http://schemas.openxmlformats.org/drawingml/2006/main">
              <a:solidFill>
                <a:srgbClr val="1F6FB2"/>
              </a:solidFill>
              <a:prstDash val="solid"/>
            </a:ln>
          </spPr>
          <cat>
            <numRef>
              <f>'Contracts &amp; Permits'!$B$7:$B$12</f>
            </numRef>
          </cat>
          <val>
            <numRef>
              <f>'Contracts &amp; Permits'!$F$7:$F$12</f>
            </numRef>
          </val>
        </ser>
        <gapWidth val="150"/>
        <overlap val="100"/>
        <axId val="10"/>
        <axId val="100"/>
      </barChart>
      <catAx>
        <axId val="10"/>
        <scaling>
          <orientation val="maxMin"/>
        </scaling>
        <delete val="0"/>
        <axPos val="l"/>
        <majorTickMark val="none"/>
        <minorTickMark val="none"/>
        <crossAx val="100"/>
        <lblOffset val="100"/>
      </catAx>
      <valAx>
        <axId val="100"/>
        <scaling>
          <orientation val="minMax"/>
        </scaling>
        <delete val="0"/>
        <axPos val="l"/>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s>
</file>

<file path=xl/drawings/_rels/drawing3.xml.rels><Relationships xmlns="http://schemas.openxmlformats.org/package/2006/relationships"><Relationship Type="http://schemas.openxmlformats.org/officeDocument/2006/relationships/chart" Target="/xl/charts/chart4.xml" Id="rId1"/></Relationships>
</file>

<file path=xl/drawings/_rels/drawing4.xml.rels><Relationships xmlns="http://schemas.openxmlformats.org/package/2006/relationships"><Relationship Type="http://schemas.openxmlformats.org/officeDocument/2006/relationships/chart" Target="/xl/charts/chart5.xml" Id="rId1"/></Relationships>
</file>

<file path=xl/drawings/drawing1.xml><?xml version="1.0" encoding="utf-8"?>
<wsDr xmlns="http://schemas.openxmlformats.org/drawingml/2006/spreadsheetDrawing">
  <oneCellAnchor>
    <from>
      <col>1</col>
      <colOff>0</colOff>
      <row>8</row>
      <rowOff>0</rowOff>
    </from>
    <ext cx="1080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17</col>
      <colOff>0</colOff>
      <row>8</row>
      <rowOff>0</rowOff>
    </from>
    <ext cx="612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2.xml><?xml version="1.0" encoding="utf-8"?>
<wsDr xmlns="http://schemas.openxmlformats.org/drawingml/2006/spreadsheetDrawing">
  <oneCellAnchor>
    <from>
      <col>1</col>
      <colOff>0</colOff>
      <row>19</row>
      <rowOff>0</rowOff>
    </from>
    <ext cx="612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11</col>
      <colOff>0</colOff>
      <row>7</row>
      <rowOff>0</rowOff>
    </from>
    <ext cx="540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1</col>
      <colOff>0</colOff>
      <row>14</row>
      <rowOff>0</rowOff>
    </from>
    <ext cx="46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meta" displayName="meta" ref="A1:C2" headerRowCount="1">
  <autoFilter ref="A1:C2"/>
  <tableColumns count="3">
    <tableColumn id="1" name="report_date"/>
    <tableColumn id="2" name="report_title"/>
    <tableColumn id="3" name="prepared_by"/>
  </tableColumns>
  <tableStyleInfo name="TableStyleMedium2" showRowStripes="1"/>
</table>
</file>

<file path=xl/tables/table2.xml><?xml version="1.0" encoding="utf-8"?>
<table xmlns="http://schemas.openxmlformats.org/spreadsheetml/2006/main" id="2" name="manpower" displayName="manpower" ref="A1:G61" headerRowCount="1">
  <autoFilter ref="A1:G61"/>
  <tableColumns count="7">
    <tableColumn id="1" name="month"/>
    <tableColumn id="2" name="onshore_plan"/>
    <tableColumn id="3" name="onshore_actual"/>
    <tableColumn id="4" name="offshore_plan"/>
    <tableColumn id="5" name="offshore_actual"/>
    <tableColumn id="6" name="total_plan"/>
    <tableColumn id="7" name="total_actual"/>
  </tableColumns>
  <tableStyleInfo name="TableStyleMedium2" showRowStripes="1"/>
</table>
</file>

<file path=xl/tables/table3.xml><?xml version="1.0" encoding="utf-8"?>
<table xmlns="http://schemas.openxmlformats.org/spreadsheetml/2006/main" id="3" name="staffing" displayName="staffing" ref="A1:C4" headerRowCount="1">
  <autoFilter ref="A1:C4"/>
  <tableColumns count="3">
    <tableColumn id="1" name="group"/>
    <tableColumn id="2" name="filled"/>
    <tableColumn id="3" name="required"/>
  </tableColumns>
  <tableStyleInfo name="TableStyleMedium2" showRowStripes="1"/>
</table>
</file>

<file path=xl/tables/table4.xml><?xml version="1.0" encoding="utf-8"?>
<table xmlns="http://schemas.openxmlformats.org/spreadsheetml/2006/main" id="4" name="cbta" displayName="cbta" ref="A1:I8" headerRowCount="1">
  <autoFilter ref="A1:I8"/>
  <tableColumns count="9">
    <tableColumn id="1" name="platform"/>
    <tableColumn id="2" name="team"/>
    <tableColumn id="3" name="modules"/>
    <tableColumn id="4" name="developing"/>
    <tableColumn id="5" name="review"/>
    <tableColumn id="6" name="completed"/>
    <tableColumn id="7" name="theory_pct"/>
    <tableColumn id="8" name="ojt_modules"/>
    <tableColumn id="9" name="ojt_pct"/>
  </tableColumns>
  <tableStyleInfo name="TableStyleMedium2" showRowStripes="1"/>
</table>
</file>

<file path=xl/tables/table5.xml><?xml version="1.0" encoding="utf-8"?>
<table xmlns="http://schemas.openxmlformats.org/spreadsheetml/2006/main" id="5" name="mandatory" displayName="mandatory" ref="A1:D7" headerRowCount="1">
  <autoFilter ref="A1:D7"/>
  <tableColumns count="4">
    <tableColumn id="1" name="team"/>
    <tableColumn id="2" name="planned"/>
    <tableColumn id="3" name="earned"/>
    <tableColumn id="4" name="balance"/>
  </tableColumns>
  <tableStyleInfo name="TableStyleMedium2" showRowStripes="1"/>
</table>
</file>

<file path=xl/tables/table6.xml><?xml version="1.0" encoding="utf-8"?>
<table xmlns="http://schemas.openxmlformats.org/spreadsheetml/2006/main" id="6" name="vendor_training" displayName="vendor_training" ref="A1:B20" headerRowCount="1">
  <autoFilter ref="A1:B20"/>
  <tableColumns count="2">
    <tableColumn id="1" name="course"/>
    <tableColumn id="2" name="period"/>
  </tableColumns>
  <tableStyleInfo name="TableStyleMedium2" showRowStripes="1"/>
</table>
</file>

<file path=xl/tables/table7.xml><?xml version="1.0" encoding="utf-8"?>
<table xmlns="http://schemas.openxmlformats.org/spreadsheetml/2006/main" id="7" name="orr_teams" displayName="orr_teams" ref="A1:G10" headerRowCount="1">
  <autoFilter ref="A1:G10"/>
  <tableColumns count="7">
    <tableColumn id="1" name="team"/>
    <tableColumn id="2" name="weight_pct"/>
    <tableColumn id="3" name="total_activities"/>
    <tableColumn id="4" name="completed"/>
    <tableColumn id="5" name="plan_pct"/>
    <tableColumn id="6" name="actual_pct"/>
    <tableColumn id="7" name="plan_end_pct"/>
  </tableColumns>
  <tableStyleInfo name="TableStyleMedium2" showRowStripes="1"/>
</table>
</file>

<file path=xl/tables/table8.xml><?xml version="1.0" encoding="utf-8"?>
<table xmlns="http://schemas.openxmlformats.org/spreadsheetml/2006/main" id="8" name="orr_curve" displayName="orr_curve" ref="A1:C10" headerRowCount="1">
  <autoFilter ref="A1:C10"/>
  <tableColumns count="3">
    <tableColumn id="1" name="month"/>
    <tableColumn id="2" name="plan_pct"/>
    <tableColumn id="3" name="actual_pct"/>
  </tableColumns>
  <tableStyleInfo name="TableStyleMedium2" showRowStripes="1"/>
</table>
</file>

<file path=xl/tables/table9.xml><?xml version="1.0" encoding="utf-8"?>
<table xmlns="http://schemas.openxmlformats.org/spreadsheetml/2006/main" id="9" name="orr_elements" displayName="orr_elements" ref="A1:E25" headerRowCount="1">
  <autoFilter ref="A1:E25"/>
  <tableColumns count="5">
    <tableColumn id="1" name="group"/>
    <tableColumn id="2" name="code"/>
    <tableColumn id="3" name="element"/>
    <tableColumn id="4" name="items"/>
    <tableColumn id="5" name="progress_pct"/>
  </tableColumns>
  <tableStyleInfo name="TableStyleMedium2" showRowStripes="1"/>
</table>
</file>

<file path=xl/tables/table10.xml><?xml version="1.0" encoding="utf-8"?>
<table xmlns="http://schemas.openxmlformats.org/spreadsheetml/2006/main" id="10" name="orr_groups" displayName="orr_groups" ref="A1:C5" headerRowCount="1">
  <autoFilter ref="A1:C5"/>
  <tableColumns count="3">
    <tableColumn id="1" name="group"/>
    <tableColumn id="2" name="items"/>
    <tableColumn id="3" name="progress_pct"/>
  </tableColumns>
  <tableStyleInfo name="TableStyleMedium2" showRowStripes="1"/>
</table>
</file>

<file path=xl/tables/table11.xml><?xml version="1.0" encoding="utf-8"?>
<table xmlns="http://schemas.openxmlformats.org/spreadsheetml/2006/main" id="11" name="procedures" displayName="procedures" ref="A1:I72" headerRowCount="1">
  <autoFilter ref="A1:I72"/>
  <tableColumns count="9">
    <tableColumn id="1" name="id"/>
    <tableColumn id="2" name="category"/>
    <tableColumn id="3" name="document"/>
    <tableColumn id="4" name="level"/>
    <tableColumn id="5" name="issued"/>
    <tableColumn id="6" name="responsible"/>
    <tableColumn id="7" name="expected"/>
    <tableColumn id="8" name="completion_pct"/>
    <tableColumn id="9" name="remark"/>
  </tableColumns>
  <tableStyleInfo name="TableStyleMedium2" showRowStripes="1"/>
</table>
</file>

<file path=xl/tables/table12.xml><?xml version="1.0" encoding="utf-8"?>
<table xmlns="http://schemas.openxmlformats.org/spreadsheetml/2006/main" id="12" name="packages_no_pr" displayName="packages_no_pr" ref="A1:C10" headerRowCount="1">
  <autoFilter ref="A1:C10"/>
  <tableColumns count="3">
    <tableColumn id="1" name="dimension"/>
    <tableColumn id="2" name="category"/>
    <tableColumn id="3" name="count"/>
  </tableColumns>
  <tableStyleInfo name="TableStyleMedium2" showRowStripes="1"/>
</table>
</file>

<file path=xl/tables/table13.xml><?xml version="1.0" encoding="utf-8"?>
<table xmlns="http://schemas.openxmlformats.org/spreadsheetml/2006/main" id="13" name="pr_pipeline" displayName="pr_pipeline" ref="A1:C11" headerRowCount="1">
  <autoFilter ref="A1:C11"/>
  <tableColumns count="3">
    <tableColumn id="1" name="stage"/>
    <tableColumn id="2" name="status"/>
    <tableColumn id="3" name="count"/>
  </tableColumns>
  <tableStyleInfo name="TableStyleMedium2" showRowStripes="1"/>
</table>
</file>

<file path=xl/tables/table14.xml><?xml version="1.0" encoding="utf-8"?>
<table xmlns="http://schemas.openxmlformats.org/spreadsheetml/2006/main" id="14" name="cmms" displayName="cmms" ref="A1:C3" headerRowCount="1">
  <autoFilter ref="A1:C3"/>
  <tableColumns count="3">
    <tableColumn id="1" name="package"/>
    <tableColumn id="2" name="actual_pct"/>
    <tableColumn id="3" name="plan_pct"/>
  </tableColumns>
  <tableStyleInfo name="TableStyleMedium2" showRowStripes="1"/>
</table>
</file>

<file path=xl/tables/table15.xml><?xml version="1.0" encoding="utf-8"?>
<table xmlns="http://schemas.openxmlformats.org/spreadsheetml/2006/main" id="15" name="workstreams" displayName="workstreams" ref="A1:C18" headerRowCount="1">
  <autoFilter ref="A1:C18"/>
  <tableColumns count="3">
    <tableColumn id="1" name="area"/>
    <tableColumn id="2" name="item"/>
    <tableColumn id="3" name="status"/>
  </tableColumns>
  <tableStyleInfo name="TableStyleMedium2" showRowStripes="1"/>
</table>
</file>

<file path=xl/tables/table16.xml><?xml version="1.0" encoding="utf-8"?>
<table xmlns="http://schemas.openxmlformats.org/spreadsheetml/2006/main" id="16" name="permits" displayName="permits" ref="A1:G11" headerRowCount="1">
  <autoFilter ref="A1:G11"/>
  <tableColumns count="7">
    <tableColumn id="1" name="permit"/>
    <tableColumn id="2" name="facility"/>
    <tableColumn id="3" name="authority"/>
    <tableColumn id="4" name="issue_date"/>
    <tableColumn id="5" name="expiry_date"/>
    <tableColumn id="6" name="renewal_date"/>
    <tableColumn id="7" name="status"/>
  </tableColumns>
  <tableStyleInfo name="TableStyleMedium2" showRowStripes="1"/>
</table>
</file>

<file path=xl/tables/table17.xml><?xml version="1.0" encoding="utf-8"?>
<table xmlns="http://schemas.openxmlformats.org/spreadsheetml/2006/main" id="17" name="precom_plan" displayName="precom_plan" ref="A1:E18" headerRowCount="1">
  <autoFilter ref="A1:E18"/>
  <tableColumns count="5">
    <tableColumn id="1" name="activity"/>
    <tableColumn id="2" name="plan_start"/>
    <tableColumn id="3" name="plan_finish"/>
    <tableColumn id="4" name="actual_start"/>
    <tableColumn id="5" name="actual_finish"/>
  </tableColumns>
  <tableStyleInfo name="TableStyleMedium2" showRowStripes="1"/>
</table>
</file>

<file path=xl/tables/table18.xml><?xml version="1.0" encoding="utf-8"?>
<table xmlns="http://schemas.openxmlformats.org/spreadsheetml/2006/main" id="18" name="startup_sequence" displayName="startup_sequence" ref="A1:C15" headerRowCount="1">
  <autoFilter ref="A1:C15"/>
  <tableColumns count="3">
    <tableColumn id="1" name="step"/>
    <tableColumn id="2" name="phase"/>
    <tableColumn id="3" name="action"/>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5.xml.rels><Relationships xmlns="http://schemas.openxmlformats.org/package/2006/relationships"><Relationship Type="http://schemas.openxmlformats.org/officeDocument/2006/relationships/drawing" Target="/xl/drawings/drawing4.xml" Id="rId1"/></Relationships>
</file>

<file path=xl/worksheets/_rels/sheet8.xml.rels><Relationships xmlns="http://schemas.openxmlformats.org/package/2006/relationships"><Relationship Type="http://schemas.openxmlformats.org/officeDocument/2006/relationships/table" Target="/xl/tables/table1.xml" Id="rId1"/></Relationships>
</file>

<file path=xl/worksheets/_rels/sheet9.xml.rels><Relationships xmlns="http://schemas.openxmlformats.org/package/2006/relationships"><Relationship Type="http://schemas.openxmlformats.org/officeDocument/2006/relationships/table" Target="/xl/tables/table2.xml" Id="rId1"/></Relationships>
</file>

<file path=xl/worksheets/_rels/sheet10.xml.rels><Relationships xmlns="http://schemas.openxmlformats.org/package/2006/relationships"><Relationship Type="http://schemas.openxmlformats.org/officeDocument/2006/relationships/table" Target="/xl/tables/table3.xml" Id="rId1"/></Relationships>
</file>

<file path=xl/worksheets/_rels/sheet11.xml.rels><Relationships xmlns="http://schemas.openxmlformats.org/package/2006/relationships"><Relationship Type="http://schemas.openxmlformats.org/officeDocument/2006/relationships/table" Target="/xl/tables/table4.xml" Id="rId1"/></Relationships>
</file>

<file path=xl/worksheets/_rels/sheet12.xml.rels><Relationships xmlns="http://schemas.openxmlformats.org/package/2006/relationships"><Relationship Type="http://schemas.openxmlformats.org/officeDocument/2006/relationships/table" Target="/xl/tables/table5.xml" Id="rId1"/></Relationships>
</file>

<file path=xl/worksheets/_rels/sheet13.xml.rels><Relationships xmlns="http://schemas.openxmlformats.org/package/2006/relationships"><Relationship Type="http://schemas.openxmlformats.org/officeDocument/2006/relationships/table" Target="/xl/tables/table6.xml" Id="rId1"/></Relationships>
</file>

<file path=xl/worksheets/_rels/sheet14.xml.rels><Relationships xmlns="http://schemas.openxmlformats.org/package/2006/relationships"><Relationship Type="http://schemas.openxmlformats.org/officeDocument/2006/relationships/table" Target="/xl/tables/table7.xml" Id="rId1"/></Relationships>
</file>

<file path=xl/worksheets/_rels/sheet15.xml.rels><Relationships xmlns="http://schemas.openxmlformats.org/package/2006/relationships"><Relationship Type="http://schemas.openxmlformats.org/officeDocument/2006/relationships/table" Target="/xl/tables/table8.xml" Id="rId1"/></Relationships>
</file>

<file path=xl/worksheets/_rels/sheet16.xml.rels><Relationships xmlns="http://schemas.openxmlformats.org/package/2006/relationships"><Relationship Type="http://schemas.openxmlformats.org/officeDocument/2006/relationships/table" Target="/xl/tables/table9.xml" Id="rId1"/></Relationships>
</file>

<file path=xl/worksheets/_rels/sheet17.xml.rels><Relationships xmlns="http://schemas.openxmlformats.org/package/2006/relationships"><Relationship Type="http://schemas.openxmlformats.org/officeDocument/2006/relationships/table" Target="/xl/tables/table10.xml" Id="rId1"/></Relationships>
</file>

<file path=xl/worksheets/_rels/sheet18.xml.rels><Relationships xmlns="http://schemas.openxmlformats.org/package/2006/relationships"><Relationship Type="http://schemas.openxmlformats.org/officeDocument/2006/relationships/table" Target="/xl/tables/table11.xml" Id="rId1"/></Relationships>
</file>

<file path=xl/worksheets/_rels/sheet19.xml.rels><Relationships xmlns="http://schemas.openxmlformats.org/package/2006/relationships"><Relationship Type="http://schemas.openxmlformats.org/officeDocument/2006/relationships/table" Target="/xl/tables/table12.xml" Id="rId1"/></Relationships>
</file>

<file path=xl/worksheets/_rels/sheet20.xml.rels><Relationships xmlns="http://schemas.openxmlformats.org/package/2006/relationships"><Relationship Type="http://schemas.openxmlformats.org/officeDocument/2006/relationships/table" Target="/xl/tables/table13.xml" Id="rId1"/></Relationships>
</file>

<file path=xl/worksheets/_rels/sheet21.xml.rels><Relationships xmlns="http://schemas.openxmlformats.org/package/2006/relationships"><Relationship Type="http://schemas.openxmlformats.org/officeDocument/2006/relationships/table" Target="/xl/tables/table14.xml" Id="rId1"/></Relationships>
</file>

<file path=xl/worksheets/_rels/sheet22.xml.rels><Relationships xmlns="http://schemas.openxmlformats.org/package/2006/relationships"><Relationship Type="http://schemas.openxmlformats.org/officeDocument/2006/relationships/table" Target="/xl/tables/table15.xml" Id="rId1"/></Relationships>
</file>

<file path=xl/worksheets/_rels/sheet23.xml.rels><Relationships xmlns="http://schemas.openxmlformats.org/package/2006/relationships"><Relationship Type="http://schemas.openxmlformats.org/officeDocument/2006/relationships/table" Target="/xl/tables/table16.xml" Id="rId1"/></Relationships>
</file>

<file path=xl/worksheets/_rels/sheet24.xml.rels><Relationships xmlns="http://schemas.openxmlformats.org/package/2006/relationships"><Relationship Type="http://schemas.openxmlformats.org/officeDocument/2006/relationships/table" Target="/xl/tables/table17.xml" Id="rId1"/></Relationships>
</file>

<file path=xl/worksheets/_rels/sheet25.xml.rels><Relationships xmlns="http://schemas.openxmlformats.org/package/2006/relationships"><Relationship Type="http://schemas.openxmlformats.org/officeDocument/2006/relationships/table" Target="/xl/tables/table18.xml" Id="rId1"/></Relationships>
</file>

<file path=xl/worksheets/sheet1.xml><?xml version="1.0" encoding="utf-8"?>
<worksheet xmlns="http://schemas.openxmlformats.org/spreadsheetml/2006/main">
  <sheetPr>
    <tabColor rgb="001F6FB2"/>
    <outlinePr summaryBelow="1" summaryRight="1"/>
    <pageSetUpPr fitToPage="1"/>
  </sheetPr>
  <dimension ref="A1:Z139"/>
  <sheetViews>
    <sheetView showGridLines="0" tabSelected="1" zoomScale="90" workbookViewId="0">
      <selection activeCell="A1" sqref="A1"/>
    </sheetView>
  </sheetViews>
  <sheetFormatPr baseColWidth="8" defaultRowHeight="15"/>
  <cols>
    <col width="2"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s>
  <sheetData>
    <row r="1" ht="30" customHeight="1">
      <c r="A1" s="6" t="n"/>
      <c r="B1" s="7">
        <f>"OPS readiness – report "&amp;TEXT(DATEVALUE('Thong tin'!$A$2),"d mmm yyyy")</f>
        <v/>
      </c>
      <c r="C1" s="6" t="n"/>
      <c r="D1" s="6" t="n"/>
      <c r="E1" s="6" t="n"/>
      <c r="F1" s="6" t="n"/>
      <c r="G1" s="6" t="n"/>
      <c r="H1" s="6" t="n"/>
      <c r="I1" s="6" t="n"/>
      <c r="J1" s="6" t="n"/>
      <c r="K1" s="6" t="n"/>
      <c r="L1" s="6" t="n"/>
      <c r="M1" s="6" t="n"/>
      <c r="N1" s="6" t="n"/>
      <c r="O1" s="6" t="n"/>
      <c r="P1" s="6" t="n"/>
      <c r="Q1" s="6" t="n"/>
      <c r="R1" s="6" t="n"/>
      <c r="S1" s="6" t="n"/>
      <c r="T1" s="6" t="n"/>
      <c r="U1" s="6" t="n"/>
      <c r="V1" s="6" t="n"/>
      <c r="W1" s="6" t="n"/>
      <c r="X1" s="6" t="n"/>
      <c r="Y1" s="6" t="n"/>
      <c r="Z1" s="6" t="n"/>
    </row>
    <row r="2">
      <c r="A2" s="6" t="n"/>
      <c r="B2" s="8" t="inlineStr">
        <is>
          <t>Live view of the data tables in this workbook. Edit the numbers in the data sheets (after "Huong dan"); this page recalculates at once.</t>
        </is>
      </c>
      <c r="C2" s="6" t="n"/>
      <c r="D2" s="6" t="n"/>
      <c r="E2" s="6" t="n"/>
      <c r="F2" s="6" t="n"/>
      <c r="G2" s="6" t="n"/>
      <c r="H2" s="6" t="n"/>
      <c r="I2" s="6" t="n"/>
      <c r="J2" s="6" t="n"/>
      <c r="K2" s="6" t="n"/>
      <c r="L2" s="6" t="n"/>
      <c r="M2" s="6" t="n"/>
      <c r="N2" s="6" t="n"/>
      <c r="O2" s="6" t="n"/>
      <c r="P2" s="6" t="n"/>
      <c r="Q2" s="6" t="n"/>
      <c r="R2" s="6" t="n"/>
      <c r="S2" s="6" t="n"/>
      <c r="T2" s="6" t="n"/>
      <c r="U2" s="6" t="n"/>
      <c r="V2" s="6" t="n"/>
      <c r="W2" s="6" t="n"/>
      <c r="X2" s="6" t="n"/>
      <c r="Y2" s="6" t="n"/>
      <c r="Z2" s="6" t="n"/>
    </row>
    <row r="3">
      <c r="A3" s="6" t="n"/>
      <c r="B3" s="9">
        <f>"Manpower in "&amp;TEXT(DATEVALUE(LOOKUP(2,1/('Nhan su theo thang'!$G$2:$G$300&lt;&gt;""),'Nhan su theo thang'!$A$2:$A$300)&amp;"-01"),"mmm yyyy")&amp;": "&amp;LOOKUP(2,1/('Nhan su theo thang'!$G$2:$G$300&lt;&gt;""),'Nhan su theo thang'!$G$2:$G$300)&amp;" / "&amp;LOOKUP(2,1/('Nhan su theo thang'!$G$2:$G$300&lt;&gt;""),'Nhan su theo thang'!$F$2:$F$300)&amp;" people against plan; OPS teams ORR checklist at "&amp;TEXT(LOOKUP(2,1/('ORR theo thang'!$C$2:$C$300&lt;&gt;""),'ORR theo thang'!$C$2:$C$300)/100,"0.0%")&amp;" vs plan "&amp;TEXT(LOOKUP(2,1/('ORR theo thang'!$C$2:$C$300&lt;&gt;""),'ORR theo thang'!$B$2:$B$300)/100,"0.0%")&amp;"; "&amp;SUMIFS('PR dang xu ly'!$C$2:$C$300,'PR dang xu ly'!$B$2:$B$300,"Late")&amp;" PRs late."</f>
        <v/>
      </c>
      <c r="Z3" s="6" t="n"/>
    </row>
    <row r="4">
      <c r="A4" s="6" t="n"/>
      <c r="B4" s="6" t="n"/>
      <c r="C4" s="6" t="n"/>
      <c r="D4" s="6" t="n"/>
      <c r="E4" s="6" t="n"/>
      <c r="F4" s="6" t="n"/>
      <c r="G4" s="6" t="n"/>
      <c r="H4" s="6" t="n"/>
      <c r="I4" s="6" t="n"/>
      <c r="J4" s="6" t="n"/>
      <c r="K4" s="6" t="n"/>
      <c r="L4" s="6" t="n"/>
      <c r="M4" s="6" t="n"/>
      <c r="N4" s="6" t="n"/>
      <c r="O4" s="6" t="n"/>
      <c r="P4" s="6" t="n"/>
      <c r="Q4" s="6" t="n"/>
      <c r="R4" s="6" t="n"/>
      <c r="S4" s="6" t="n"/>
      <c r="T4" s="6" t="n"/>
      <c r="U4" s="6" t="n"/>
      <c r="V4" s="6" t="n"/>
      <c r="W4" s="6" t="n"/>
      <c r="X4" s="6" t="n"/>
      <c r="Y4" s="6" t="n"/>
      <c r="Z4" s="6" t="n"/>
    </row>
    <row r="5" ht="16" customHeight="1">
      <c r="A5" s="6" t="n"/>
      <c r="B5" s="10">
        <f>"OPS manpower · "&amp;TEXT(DATEVALUE(LOOKUP(2,1/('Nhan su theo thang'!$G$2:$G$300&lt;&gt;""),'Nhan su theo thang'!$A$2:$A$300)&amp;"-01"),"mmm yyyy")</f>
        <v/>
      </c>
      <c r="C5" s="11" t="n"/>
      <c r="D5" s="11" t="n"/>
      <c r="E5" s="12" t="n"/>
      <c r="F5" s="10">
        <f>"OPS teams ORR checklist · "&amp;TEXT(DATEVALUE(LOOKUP(2,1/('ORR theo thang'!$C$2:$C$300&lt;&gt;""),'ORR theo thang'!$A$2:$A$300)&amp;"-01"),"mmm yyyy")</f>
        <v/>
      </c>
      <c r="G5" s="11" t="n"/>
      <c r="H5" s="11" t="n"/>
      <c r="I5" s="12" t="n"/>
      <c r="J5" s="10" t="inlineStr">
        <is>
          <t>CBTA development (CPP &amp; WHP)</t>
        </is>
      </c>
      <c r="K5" s="11" t="n"/>
      <c r="L5" s="11" t="n"/>
      <c r="M5" s="12" t="n"/>
      <c r="N5" s="10" t="inlineStr">
        <is>
          <t>Mandatory training · offshore</t>
        </is>
      </c>
      <c r="O5" s="11" t="n"/>
      <c r="P5" s="11" t="n"/>
      <c r="Q5" s="12" t="n"/>
      <c r="R5" s="10" t="inlineStr">
        <is>
          <t>Procedures · HSE | general operations</t>
        </is>
      </c>
      <c r="S5" s="11" t="n"/>
      <c r="T5" s="11" t="n"/>
      <c r="U5" s="12" t="n"/>
      <c r="V5" s="10" t="inlineStr">
        <is>
          <t>PRs in progress</t>
        </is>
      </c>
      <c r="W5" s="11" t="n"/>
      <c r="X5" s="11" t="n"/>
      <c r="Y5" s="12" t="n"/>
      <c r="Z5" s="6" t="n"/>
    </row>
    <row r="6" ht="34" customHeight="1">
      <c r="A6" s="6" t="n"/>
      <c r="B6" s="13">
        <f>LOOKUP(2,1/('Nhan su theo thang'!$G$2:$G$300&lt;&gt;""),'Nhan su theo thang'!$G$2:$G$300)</f>
        <v/>
      </c>
      <c r="C6" s="14" t="n"/>
      <c r="D6" s="14" t="n"/>
      <c r="E6" s="15" t="n"/>
      <c r="F6" s="16">
        <f>LOOKUP(2,1/('ORR theo thang'!$C$2:$C$300&lt;&gt;""),'ORR theo thang'!$C$2:$C$300)/100</f>
        <v/>
      </c>
      <c r="G6" s="14" t="n"/>
      <c r="H6" s="14" t="n"/>
      <c r="I6" s="15" t="n"/>
      <c r="J6" s="16">
        <f>AVERAGE(SUMIFS('CBTA'!$F$2:$F$300,'CBTA'!$A$2:$A$300,"CPP")/SUMIFS('CBTA'!$C$2:$C$300,'CBTA'!$A$2:$A$300,"CPP"),SUMIFS('CBTA'!$F$2:$F$300,'CBTA'!$A$2:$A$300,"WHP")/SUMIFS('CBTA'!$C$2:$C$300,'CBTA'!$A$2:$A$300,"WHP"))</f>
        <v/>
      </c>
      <c r="K6" s="14" t="n"/>
      <c r="L6" s="14" t="n"/>
      <c r="M6" s="15" t="n"/>
      <c r="N6" s="17">
        <f>SUM('Dao tao bat buoc'!$C$2:$C$300)/SUM('Dao tao bat buoc'!$B$2:$B$300)</f>
        <v/>
      </c>
      <c r="O6" s="14" t="n"/>
      <c r="P6" s="14" t="n"/>
      <c r="Q6" s="15" t="n"/>
      <c r="R6" s="18">
        <f>TEXT(AVERAGEIFS('Quy trinh'!$H$2:$H$300,'Quy trinh'!$B$2:$B$300,"HSE")/100,"0%")&amp;" | "&amp;TEXT(AVERAGEIFS('Quy trinh'!$H$2:$H$300,'Quy trinh'!$B$2:$B$300,"General operations")/100,"0%")</f>
        <v/>
      </c>
      <c r="S6" s="14" t="n"/>
      <c r="T6" s="14" t="n"/>
      <c r="U6" s="15" t="n"/>
      <c r="V6" s="13">
        <f>SUM('PR dang xu ly'!$C$2:$C$300)</f>
        <v/>
      </c>
      <c r="W6" s="14" t="n"/>
      <c r="X6" s="14" t="n"/>
      <c r="Y6" s="15" t="n"/>
      <c r="Z6" s="6" t="n"/>
    </row>
    <row r="7" ht="30" customHeight="1">
      <c r="A7" s="6" t="n"/>
      <c r="B7" s="19">
        <f>TEXT(LOOKUP(2,1/('Nhan su theo thang'!$G$2:$G$300&lt;&gt;""),'Nhan su theo thang'!$G$2:$G$300)/LOOKUP(2,1/('Nhan su theo thang'!$G$2:$G$300&lt;&gt;""),'Nhan su theo thang'!$F$2:$F$300),"0%")&amp;" of monthly plan ("&amp;LOOKUP(2,1/('Nhan su theo thang'!$G$2:$G$300&lt;&gt;""),'Nhan su theo thang'!$F$2:$F$300)&amp;")"</f>
        <v/>
      </c>
      <c r="C7" s="20" t="n"/>
      <c r="D7" s="20" t="n"/>
      <c r="E7" s="21" t="n"/>
      <c r="F7" s="19">
        <f>"Plan "&amp;TEXT(LOOKUP(2,1/('ORR theo thang'!$C$2:$C$300&lt;&gt;""),'ORR theo thang'!$B$2:$B$300)/100,"0.0%")&amp;" · "&amp;IF(LOOKUP(2,1/('ORR theo thang'!$C$2:$C$300&lt;&gt;""),'ORR theo thang'!$C$2:$C$300)&gt;=LOOKUP(2,1/('ORR theo thang'!$C$2:$C$300&lt;&gt;""),'ORR theo thang'!$B$2:$B$300),"+","")&amp;TEXT(LOOKUP(2,1/('ORR theo thang'!$C$2:$C$300&lt;&gt;""),'ORR theo thang'!$C$2:$C$300)-LOOKUP(2,1/('ORR theo thang'!$C$2:$C$300&lt;&gt;""),'ORR theo thang'!$B$2:$B$300),"0.0")&amp;" pts"</f>
        <v/>
      </c>
      <c r="G7" s="20" t="n"/>
      <c r="H7" s="20" t="n"/>
      <c r="I7" s="21" t="n"/>
      <c r="J7" s="19">
        <f>"Theory assessment "&amp;TEXT(AVERAGE(AVERAGEIFS('CBTA'!$G$2:$G$300,'CBTA'!$A$2:$A$300,"CPP"),AVERAGEIFS('CBTA'!$G$2:$G$300,'CBTA'!$A$2:$A$300,"WHP"))/100,"0.0%")&amp;" · OJT "&amp;TEXT(AVERAGE(AVERAGEIFS('CBTA'!$I$2:$I$300,'CBTA'!$A$2:$A$300,"CPP"),AVERAGEIFS('CBTA'!$I$2:$I$300,'CBTA'!$A$2:$A$300,"WHP"))/100,"0.0%")</f>
        <v/>
      </c>
      <c r="K7" s="20" t="n"/>
      <c r="L7" s="20" t="n"/>
      <c r="M7" s="21" t="n"/>
      <c r="N7" s="19">
        <f>TEXT(SUM('Dao tao bat buoc'!$C$2:$C$300),"#,##0")&amp;" / "&amp;TEXT(SUM('Dao tao bat buoc'!$B$2:$B$300),"#,##0")&amp;" courses completed"</f>
        <v/>
      </c>
      <c r="O7" s="20" t="n"/>
      <c r="P7" s="20" t="n"/>
      <c r="Q7" s="21" t="n"/>
      <c r="R7" s="19">
        <f>COUNTIFS('Quy trinh'!$E$2:$E$300,"&lt;&gt;Yes",'Quy trinh'!$C$2:$C$300,"&lt;&gt;")&amp;" procedures not yet issued"</f>
        <v/>
      </c>
      <c r="S7" s="20" t="n"/>
      <c r="T7" s="20" t="n"/>
      <c r="U7" s="21" t="n"/>
      <c r="V7" s="19">
        <f>SUMIFS('PR dang xu ly'!$C$2:$C$300,'PR dang xu ly'!$B$2:$B$300,"Late")&amp;" late · "&amp;SUMIFS('PR dang xu ly'!$C$2:$C$300,'PR dang xu ly'!$B$2:$B$300,"Near-late")&amp;" near-late · "&amp;SUMIFS('Goi chua co PR'!$C$2:$C$300,'Goi chua co PR'!$A$2:$A$300,"status")&amp;" packages without PR"</f>
        <v/>
      </c>
      <c r="W7" s="20" t="n"/>
      <c r="X7" s="20" t="n"/>
      <c r="Y7" s="21" t="n"/>
      <c r="Z7" s="6" t="n"/>
    </row>
    <row r="8">
      <c r="A8" s="6" t="n"/>
      <c r="B8" s="6" t="n"/>
      <c r="C8" s="6" t="n"/>
      <c r="D8" s="6" t="n"/>
      <c r="E8" s="6" t="n"/>
      <c r="F8" s="6" t="n"/>
      <c r="G8" s="6" t="n"/>
      <c r="H8" s="6" t="n"/>
      <c r="I8" s="6" t="n"/>
      <c r="J8" s="6" t="n"/>
      <c r="K8" s="6" t="n"/>
      <c r="L8" s="6" t="n"/>
      <c r="M8" s="6" t="n"/>
      <c r="N8" s="6" t="n"/>
      <c r="O8" s="6" t="n"/>
      <c r="P8" s="6" t="n"/>
      <c r="Q8" s="6" t="n"/>
      <c r="R8" s="6" t="n"/>
      <c r="S8" s="6" t="n"/>
      <c r="T8" s="6" t="n"/>
      <c r="U8" s="6" t="n"/>
      <c r="V8" s="6" t="n"/>
      <c r="W8" s="6" t="n"/>
      <c r="X8" s="6" t="n"/>
      <c r="Y8" s="6" t="n"/>
      <c r="Z8" s="6" t="n"/>
    </row>
    <row r="9">
      <c r="A9" s="6" t="n"/>
      <c r="B9" s="6" t="n"/>
      <c r="C9" s="6" t="n"/>
      <c r="D9" s="6" t="n"/>
      <c r="E9" s="6" t="n"/>
      <c r="F9" s="6" t="n"/>
      <c r="G9" s="6" t="n"/>
      <c r="H9" s="6" t="n"/>
      <c r="I9" s="6" t="n"/>
      <c r="J9" s="6" t="n"/>
      <c r="K9" s="6" t="n"/>
      <c r="L9" s="6" t="n"/>
      <c r="M9" s="6" t="n"/>
      <c r="N9" s="6" t="n"/>
      <c r="O9" s="6" t="n"/>
      <c r="P9" s="6" t="n"/>
      <c r="Q9" s="6" t="n"/>
      <c r="R9" s="6" t="n"/>
      <c r="S9" s="6" t="n"/>
      <c r="T9" s="6" t="n"/>
      <c r="U9" s="6" t="n"/>
      <c r="V9" s="6" t="n"/>
      <c r="W9" s="6" t="n"/>
      <c r="X9" s="6" t="n"/>
      <c r="Y9" s="6" t="n"/>
      <c r="Z9" s="6" t="n"/>
    </row>
    <row r="10">
      <c r="A10" s="6" t="n"/>
      <c r="B10" s="6" t="n"/>
      <c r="C10" s="6" t="n"/>
      <c r="D10" s="6" t="n"/>
      <c r="E10" s="6" t="n"/>
      <c r="F10" s="6" t="n"/>
      <c r="G10" s="6" t="n"/>
      <c r="H10" s="6" t="n"/>
      <c r="I10" s="6" t="n"/>
      <c r="J10" s="6" t="n"/>
      <c r="K10" s="6" t="n"/>
      <c r="L10" s="6" t="n"/>
      <c r="M10" s="6" t="n"/>
      <c r="N10" s="6" t="n"/>
      <c r="O10" s="6" t="n"/>
      <c r="P10" s="6" t="n"/>
      <c r="Q10" s="6" t="n"/>
      <c r="R10" s="6" t="n"/>
      <c r="S10" s="6" t="n"/>
      <c r="T10" s="6" t="n"/>
      <c r="U10" s="6" t="n"/>
      <c r="V10" s="6" t="n"/>
      <c r="W10" s="6" t="n"/>
      <c r="X10" s="6" t="n"/>
      <c r="Y10" s="6" t="n"/>
      <c r="Z10" s="6" t="n"/>
    </row>
    <row r="11">
      <c r="A11" s="6" t="n"/>
      <c r="B11" s="6" t="n"/>
      <c r="C11" s="6" t="n"/>
      <c r="D11" s="6" t="n"/>
      <c r="E11" s="6" t="n"/>
      <c r="F11" s="6" t="n"/>
      <c r="G11" s="6" t="n"/>
      <c r="H11" s="6" t="n"/>
      <c r="I11" s="6" t="n"/>
      <c r="J11" s="6" t="n"/>
      <c r="K11" s="6" t="n"/>
      <c r="L11" s="6" t="n"/>
      <c r="M11" s="6" t="n"/>
      <c r="N11" s="6" t="n"/>
      <c r="O11" s="6" t="n"/>
      <c r="P11" s="6" t="n"/>
      <c r="Q11" s="6" t="n"/>
      <c r="R11" s="6" t="n"/>
      <c r="S11" s="6" t="n"/>
      <c r="T11" s="6" t="n"/>
      <c r="U11" s="6" t="n"/>
      <c r="V11" s="6" t="n"/>
      <c r="W11" s="6" t="n"/>
      <c r="X11" s="6" t="n"/>
      <c r="Y11" s="6" t="n"/>
      <c r="Z11" s="6" t="n"/>
    </row>
    <row r="12">
      <c r="A12" s="6" t="n"/>
      <c r="B12" s="6" t="n"/>
      <c r="C12" s="6" t="n"/>
      <c r="D12" s="6" t="n"/>
      <c r="E12" s="6" t="n"/>
      <c r="F12" s="6" t="n"/>
      <c r="G12" s="6" t="n"/>
      <c r="H12" s="6" t="n"/>
      <c r="I12" s="6" t="n"/>
      <c r="J12" s="6" t="n"/>
      <c r="K12" s="6" t="n"/>
      <c r="L12" s="6" t="n"/>
      <c r="M12" s="6" t="n"/>
      <c r="N12" s="6" t="n"/>
      <c r="O12" s="6" t="n"/>
      <c r="P12" s="6" t="n"/>
      <c r="Q12" s="6" t="n"/>
      <c r="R12" s="6" t="n"/>
      <c r="S12" s="6" t="n"/>
      <c r="T12" s="6" t="n"/>
      <c r="U12" s="6" t="n"/>
      <c r="V12" s="6" t="n"/>
      <c r="W12" s="6" t="n"/>
      <c r="X12" s="6" t="n"/>
      <c r="Y12" s="6" t="n"/>
      <c r="Z12" s="6" t="n"/>
    </row>
    <row r="13">
      <c r="A13" s="6" t="n"/>
      <c r="B13" s="6" t="n"/>
      <c r="C13" s="6" t="n"/>
      <c r="D13" s="6" t="n"/>
      <c r="E13" s="6" t="n"/>
      <c r="F13" s="6" t="n"/>
      <c r="G13" s="6" t="n"/>
      <c r="H13" s="6" t="n"/>
      <c r="I13" s="6" t="n"/>
      <c r="J13" s="6" t="n"/>
      <c r="K13" s="6" t="n"/>
      <c r="L13" s="6" t="n"/>
      <c r="M13" s="6" t="n"/>
      <c r="N13" s="6" t="n"/>
      <c r="O13" s="6" t="n"/>
      <c r="P13" s="6" t="n"/>
      <c r="Q13" s="6" t="n"/>
      <c r="R13" s="6" t="n"/>
      <c r="S13" s="6" t="n"/>
      <c r="T13" s="6" t="n"/>
      <c r="U13" s="6" t="n"/>
      <c r="V13" s="6" t="n"/>
      <c r="W13" s="6" t="n"/>
      <c r="X13" s="6" t="n"/>
      <c r="Y13" s="6" t="n"/>
      <c r="Z13" s="6" t="n"/>
    </row>
    <row r="14">
      <c r="A14" s="6" t="n"/>
      <c r="B14" s="6" t="n"/>
      <c r="C14" s="6" t="n"/>
      <c r="D14" s="6" t="n"/>
      <c r="E14" s="6" t="n"/>
      <c r="F14" s="6" t="n"/>
      <c r="G14" s="6" t="n"/>
      <c r="H14" s="6" t="n"/>
      <c r="I14" s="6" t="n"/>
      <c r="J14" s="6" t="n"/>
      <c r="K14" s="6" t="n"/>
      <c r="L14" s="6" t="n"/>
      <c r="M14" s="6" t="n"/>
      <c r="N14" s="6" t="n"/>
      <c r="O14" s="6" t="n"/>
      <c r="P14" s="6" t="n"/>
      <c r="Q14" s="6" t="n"/>
      <c r="R14" s="6" t="n"/>
      <c r="S14" s="6" t="n"/>
      <c r="T14" s="6" t="n"/>
      <c r="U14" s="6" t="n"/>
      <c r="V14" s="6" t="n"/>
      <c r="W14" s="6" t="n"/>
      <c r="X14" s="6" t="n"/>
      <c r="Y14" s="6" t="n"/>
      <c r="Z14" s="6" t="n"/>
    </row>
    <row r="15">
      <c r="A15" s="6" t="n"/>
      <c r="B15" s="6" t="n"/>
      <c r="C15" s="6" t="n"/>
      <c r="D15" s="6" t="n"/>
      <c r="E15" s="6" t="n"/>
      <c r="F15" s="6" t="n"/>
      <c r="G15" s="6" t="n"/>
      <c r="H15" s="6" t="n"/>
      <c r="I15" s="6" t="n"/>
      <c r="J15" s="6" t="n"/>
      <c r="K15" s="6" t="n"/>
      <c r="L15" s="6" t="n"/>
      <c r="M15" s="6" t="n"/>
      <c r="N15" s="6" t="n"/>
      <c r="O15" s="6" t="n"/>
      <c r="P15" s="6" t="n"/>
      <c r="Q15" s="6" t="n"/>
      <c r="R15" s="6" t="n"/>
      <c r="S15" s="6" t="n"/>
      <c r="T15" s="6" t="n"/>
      <c r="U15" s="6" t="n"/>
      <c r="V15" s="6" t="n"/>
      <c r="W15" s="6" t="n"/>
      <c r="X15" s="6" t="n"/>
      <c r="Y15" s="6" t="n"/>
      <c r="Z15" s="6" t="n"/>
    </row>
    <row r="16">
      <c r="A16" s="6" t="n"/>
      <c r="B16" s="6" t="n"/>
      <c r="C16" s="6" t="n"/>
      <c r="D16" s="6" t="n"/>
      <c r="E16" s="6" t="n"/>
      <c r="F16" s="6" t="n"/>
      <c r="G16" s="6" t="n"/>
      <c r="H16" s="6" t="n"/>
      <c r="I16" s="6" t="n"/>
      <c r="J16" s="6" t="n"/>
      <c r="K16" s="6" t="n"/>
      <c r="L16" s="6" t="n"/>
      <c r="M16" s="6" t="n"/>
      <c r="N16" s="6" t="n"/>
      <c r="O16" s="6" t="n"/>
      <c r="P16" s="6" t="n"/>
      <c r="Q16" s="6" t="n"/>
      <c r="R16" s="6" t="n"/>
      <c r="S16" s="6" t="n"/>
      <c r="T16" s="6" t="n"/>
      <c r="U16" s="6" t="n"/>
      <c r="V16" s="6" t="n"/>
      <c r="W16" s="6" t="n"/>
      <c r="X16" s="6" t="n"/>
      <c r="Y16" s="6" t="n"/>
      <c r="Z16" s="6" t="n"/>
    </row>
    <row r="17">
      <c r="A17" s="6" t="n"/>
      <c r="B17" s="6" t="n"/>
      <c r="C17" s="6" t="n"/>
      <c r="D17" s="6" t="n"/>
      <c r="E17" s="6" t="n"/>
      <c r="F17" s="6" t="n"/>
      <c r="G17" s="6" t="n"/>
      <c r="H17" s="6" t="n"/>
      <c r="I17" s="6" t="n"/>
      <c r="J17" s="6" t="n"/>
      <c r="K17" s="6" t="n"/>
      <c r="L17" s="6" t="n"/>
      <c r="M17" s="6" t="n"/>
      <c r="N17" s="6" t="n"/>
      <c r="O17" s="6" t="n"/>
      <c r="P17" s="6" t="n"/>
      <c r="Q17" s="6" t="n"/>
      <c r="R17" s="6" t="n"/>
      <c r="S17" s="6" t="n"/>
      <c r="T17" s="6" t="n"/>
      <c r="U17" s="6" t="n"/>
      <c r="V17" s="6" t="n"/>
      <c r="W17" s="6" t="n"/>
      <c r="X17" s="6" t="n"/>
      <c r="Y17" s="6" t="n"/>
      <c r="Z17" s="6" t="n"/>
    </row>
    <row r="18">
      <c r="A18" s="6" t="n"/>
      <c r="B18" s="6" t="n"/>
      <c r="C18" s="6" t="n"/>
      <c r="D18" s="6" t="n"/>
      <c r="E18" s="6" t="n"/>
      <c r="F18" s="6" t="n"/>
      <c r="G18" s="6" t="n"/>
      <c r="H18" s="6" t="n"/>
      <c r="I18" s="6" t="n"/>
      <c r="J18" s="6" t="n"/>
      <c r="K18" s="6" t="n"/>
      <c r="L18" s="6" t="n"/>
      <c r="M18" s="6" t="n"/>
      <c r="N18" s="6" t="n"/>
      <c r="O18" s="6" t="n"/>
      <c r="P18" s="6" t="n"/>
      <c r="Q18" s="6" t="n"/>
      <c r="R18" s="6" t="n"/>
      <c r="S18" s="6" t="n"/>
      <c r="T18" s="6" t="n"/>
      <c r="U18" s="6" t="n"/>
      <c r="V18" s="6" t="n"/>
      <c r="W18" s="6" t="n"/>
      <c r="X18" s="6" t="n"/>
      <c r="Y18" s="6" t="n"/>
      <c r="Z18" s="6" t="n"/>
    </row>
    <row r="19">
      <c r="A19" s="6" t="n"/>
      <c r="B19" s="6" t="n"/>
      <c r="C19" s="6" t="n"/>
      <c r="D19" s="6" t="n"/>
      <c r="E19" s="6" t="n"/>
      <c r="F19" s="6" t="n"/>
      <c r="G19" s="6" t="n"/>
      <c r="H19" s="6" t="n"/>
      <c r="I19" s="6" t="n"/>
      <c r="J19" s="6" t="n"/>
      <c r="K19" s="6" t="n"/>
      <c r="L19" s="6" t="n"/>
      <c r="M19" s="6" t="n"/>
      <c r="N19" s="6" t="n"/>
      <c r="O19" s="6" t="n"/>
      <c r="P19" s="6" t="n"/>
      <c r="Q19" s="6" t="n"/>
      <c r="R19" s="6" t="n"/>
      <c r="S19" s="6" t="n"/>
      <c r="T19" s="6" t="n"/>
      <c r="U19" s="6" t="n"/>
      <c r="V19" s="6" t="n"/>
      <c r="W19" s="6" t="n"/>
      <c r="X19" s="6" t="n"/>
      <c r="Y19" s="6" t="n"/>
      <c r="Z19" s="6" t="n"/>
    </row>
    <row r="20">
      <c r="A20" s="6" t="n"/>
      <c r="B20" s="6" t="n"/>
      <c r="C20" s="6" t="n"/>
      <c r="D20" s="6" t="n"/>
      <c r="E20" s="6" t="n"/>
      <c r="F20" s="6" t="n"/>
      <c r="G20" s="6" t="n"/>
      <c r="H20" s="6" t="n"/>
      <c r="I20" s="6" t="n"/>
      <c r="J20" s="6" t="n"/>
      <c r="K20" s="6" t="n"/>
      <c r="L20" s="6" t="n"/>
      <c r="M20" s="6" t="n"/>
      <c r="N20" s="6" t="n"/>
      <c r="O20" s="6" t="n"/>
      <c r="P20" s="6" t="n"/>
      <c r="Q20" s="6" t="n"/>
      <c r="R20" s="6" t="n"/>
      <c r="S20" s="6" t="n"/>
      <c r="T20" s="6" t="n"/>
      <c r="U20" s="6" t="n"/>
      <c r="V20" s="6" t="n"/>
      <c r="W20" s="6" t="n"/>
      <c r="X20" s="6" t="n"/>
      <c r="Y20" s="6" t="n"/>
      <c r="Z20" s="6" t="n"/>
    </row>
    <row r="21">
      <c r="A21" s="6" t="n"/>
      <c r="B21" s="6" t="n"/>
      <c r="C21" s="6" t="n"/>
      <c r="D21" s="6" t="n"/>
      <c r="E21" s="6" t="n"/>
      <c r="F21" s="6" t="n"/>
      <c r="G21" s="6" t="n"/>
      <c r="H21" s="6" t="n"/>
      <c r="I21" s="6" t="n"/>
      <c r="J21" s="6" t="n"/>
      <c r="K21" s="6" t="n"/>
      <c r="L21" s="6" t="n"/>
      <c r="M21" s="6" t="n"/>
      <c r="N21" s="6" t="n"/>
      <c r="O21" s="6" t="n"/>
      <c r="P21" s="6" t="n"/>
      <c r="Q21" s="6" t="n"/>
      <c r="R21" s="6" t="n"/>
      <c r="S21" s="6" t="n"/>
      <c r="T21" s="6" t="n"/>
      <c r="U21" s="6" t="n"/>
      <c r="V21" s="6" t="n"/>
      <c r="W21" s="6" t="n"/>
      <c r="X21" s="6" t="n"/>
      <c r="Y21" s="6" t="n"/>
      <c r="Z21" s="6" t="n"/>
    </row>
    <row r="22">
      <c r="A22" s="6" t="n"/>
      <c r="B22" s="6" t="n"/>
      <c r="C22" s="6" t="n"/>
      <c r="D22" s="6" t="n"/>
      <c r="E22" s="6" t="n"/>
      <c r="F22" s="6" t="n"/>
      <c r="G22" s="6" t="n"/>
      <c r="H22" s="6" t="n"/>
      <c r="I22" s="6" t="n"/>
      <c r="J22" s="6" t="n"/>
      <c r="K22" s="6" t="n"/>
      <c r="L22" s="6" t="n"/>
      <c r="M22" s="6" t="n"/>
      <c r="N22" s="6" t="n"/>
      <c r="O22" s="6" t="n"/>
      <c r="P22" s="6" t="n"/>
      <c r="Q22" s="6" t="n"/>
      <c r="R22" s="6" t="n"/>
      <c r="S22" s="6" t="n"/>
      <c r="T22" s="6" t="n"/>
      <c r="U22" s="6" t="n"/>
      <c r="V22" s="6" t="n"/>
      <c r="W22" s="6" t="n"/>
      <c r="X22" s="6" t="n"/>
      <c r="Y22" s="6" t="n"/>
      <c r="Z22" s="6" t="n"/>
    </row>
    <row r="23">
      <c r="A23" s="6" t="n"/>
      <c r="B23" s="6" t="n"/>
      <c r="C23" s="6" t="n"/>
      <c r="D23" s="6" t="n"/>
      <c r="E23" s="6" t="n"/>
      <c r="F23" s="6" t="n"/>
      <c r="G23" s="6" t="n"/>
      <c r="H23" s="6" t="n"/>
      <c r="I23" s="6" t="n"/>
      <c r="J23" s="6" t="n"/>
      <c r="K23" s="6" t="n"/>
      <c r="L23" s="6" t="n"/>
      <c r="M23" s="6" t="n"/>
      <c r="N23" s="6" t="n"/>
      <c r="O23" s="6" t="n"/>
      <c r="P23" s="6" t="n"/>
      <c r="Q23" s="6" t="n"/>
      <c r="R23" s="6" t="n"/>
      <c r="S23" s="6" t="n"/>
      <c r="T23" s="6" t="n"/>
      <c r="U23" s="6" t="n"/>
      <c r="V23" s="6" t="n"/>
      <c r="W23" s="6" t="n"/>
      <c r="X23" s="6" t="n"/>
      <c r="Y23" s="6" t="n"/>
      <c r="Z23" s="6" t="n"/>
    </row>
    <row r="24">
      <c r="A24" s="6" t="n"/>
      <c r="B24" s="6" t="n"/>
      <c r="C24" s="6" t="n"/>
      <c r="D24" s="6" t="n"/>
      <c r="E24" s="6" t="n"/>
      <c r="F24" s="6" t="n"/>
      <c r="G24" s="6" t="n"/>
      <c r="H24" s="6" t="n"/>
      <c r="I24" s="6" t="n"/>
      <c r="J24" s="6" t="n"/>
      <c r="K24" s="6" t="n"/>
      <c r="L24" s="6" t="n"/>
      <c r="M24" s="6" t="n"/>
      <c r="N24" s="6" t="n"/>
      <c r="O24" s="6" t="n"/>
      <c r="P24" s="6" t="n"/>
      <c r="Q24" s="6" t="n"/>
      <c r="R24" s="6" t="n"/>
      <c r="S24" s="6" t="n"/>
      <c r="T24" s="6" t="n"/>
      <c r="U24" s="6" t="n"/>
      <c r="V24" s="6" t="n"/>
      <c r="W24" s="6" t="n"/>
      <c r="X24" s="6" t="n"/>
      <c r="Y24" s="6" t="n"/>
      <c r="Z24" s="6" t="n"/>
    </row>
    <row r="25">
      <c r="A25" s="6" t="n"/>
      <c r="B25" s="6" t="n"/>
      <c r="C25" s="6" t="n"/>
      <c r="D25" s="6" t="n"/>
      <c r="E25" s="6" t="n"/>
      <c r="F25" s="6" t="n"/>
      <c r="G25" s="6" t="n"/>
      <c r="H25" s="6" t="n"/>
      <c r="I25" s="6" t="n"/>
      <c r="J25" s="6" t="n"/>
      <c r="K25" s="6" t="n"/>
      <c r="L25" s="6" t="n"/>
      <c r="M25" s="6" t="n"/>
      <c r="N25" s="6" t="n"/>
      <c r="O25" s="6" t="n"/>
      <c r="P25" s="6" t="n"/>
      <c r="Q25" s="6" t="n"/>
      <c r="R25" s="6" t="n"/>
      <c r="S25" s="6" t="n"/>
      <c r="T25" s="6" t="n"/>
      <c r="U25" s="6" t="n"/>
      <c r="V25" s="6" t="n"/>
      <c r="W25" s="6" t="n"/>
      <c r="X25" s="6" t="n"/>
      <c r="Y25" s="6" t="n"/>
      <c r="Z25" s="6" t="n"/>
    </row>
    <row r="26">
      <c r="A26" s="6" t="n"/>
      <c r="B26" s="6" t="n"/>
      <c r="C26" s="6" t="n"/>
      <c r="D26" s="6" t="n"/>
      <c r="E26" s="6" t="n"/>
      <c r="F26" s="6" t="n"/>
      <c r="G26" s="6" t="n"/>
      <c r="H26" s="6" t="n"/>
      <c r="I26" s="6" t="n"/>
      <c r="J26" s="6" t="n"/>
      <c r="K26" s="6" t="n"/>
      <c r="L26" s="6" t="n"/>
      <c r="M26" s="6" t="n"/>
      <c r="N26" s="6" t="n"/>
      <c r="O26" s="6" t="n"/>
      <c r="P26" s="6" t="n"/>
      <c r="Q26" s="6" t="n"/>
      <c r="R26" s="6" t="n"/>
      <c r="S26" s="6" t="n"/>
      <c r="T26" s="6" t="n"/>
      <c r="U26" s="6" t="n"/>
      <c r="V26" s="6" t="n"/>
      <c r="W26" s="6" t="n"/>
      <c r="X26" s="6" t="n"/>
      <c r="Y26" s="6" t="n"/>
      <c r="Z26" s="6" t="n"/>
    </row>
    <row r="27">
      <c r="A27" s="6" t="n"/>
      <c r="B27" s="6" t="n"/>
      <c r="C27" s="6" t="n"/>
      <c r="D27" s="6" t="n"/>
      <c r="E27" s="6" t="n"/>
      <c r="F27" s="6" t="n"/>
      <c r="G27" s="6" t="n"/>
      <c r="H27" s="6" t="n"/>
      <c r="I27" s="6" t="n"/>
      <c r="J27" s="6" t="n"/>
      <c r="K27" s="6" t="n"/>
      <c r="L27" s="6" t="n"/>
      <c r="M27" s="6" t="n"/>
      <c r="N27" s="6" t="n"/>
      <c r="O27" s="6" t="n"/>
      <c r="P27" s="6" t="n"/>
      <c r="Q27" s="6" t="n"/>
      <c r="R27" s="6" t="n"/>
      <c r="S27" s="6" t="n"/>
      <c r="T27" s="6" t="n"/>
      <c r="U27" s="6" t="n"/>
      <c r="V27" s="6" t="n"/>
      <c r="W27" s="6" t="n"/>
      <c r="X27" s="6" t="n"/>
      <c r="Y27" s="6" t="n"/>
      <c r="Z27" s="6" t="n"/>
    </row>
    <row r="28">
      <c r="A28" s="6" t="n"/>
      <c r="B28" s="22" t="inlineStr">
        <is>
          <t>Current staffing</t>
        </is>
      </c>
      <c r="C28" s="6" t="n"/>
      <c r="D28" s="6" t="n"/>
      <c r="E28" s="6" t="n"/>
      <c r="F28" s="6" t="n"/>
      <c r="G28" s="6" t="n"/>
      <c r="H28" s="6" t="n"/>
      <c r="I28" s="6" t="n"/>
      <c r="J28" s="6" t="n"/>
      <c r="K28" s="6" t="n"/>
      <c r="L28" s="6" t="n"/>
      <c r="M28" s="6" t="n"/>
      <c r="N28" s="6" t="n"/>
      <c r="O28" s="6" t="n"/>
      <c r="P28" s="6" t="n"/>
      <c r="Q28" s="6" t="n"/>
      <c r="R28" s="6" t="n"/>
      <c r="S28" s="6" t="n"/>
      <c r="T28" s="6" t="n"/>
      <c r="U28" s="6" t="n"/>
      <c r="V28" s="6" t="n"/>
      <c r="W28" s="6" t="n"/>
      <c r="X28" s="6" t="n"/>
      <c r="Y28" s="6" t="n"/>
      <c r="Z28" s="6" t="n"/>
    </row>
    <row r="29">
      <c r="A29" s="6" t="n"/>
      <c r="B29" s="23" t="inlineStr">
        <is>
          <t>Filled / required positions at the report date.</t>
        </is>
      </c>
      <c r="C29" s="6" t="n"/>
      <c r="D29" s="6" t="n"/>
      <c r="E29" s="6" t="n"/>
      <c r="F29" s="6" t="n"/>
      <c r="G29" s="6" t="n"/>
      <c r="H29" s="6" t="n"/>
      <c r="I29" s="6" t="n"/>
      <c r="J29" s="6" t="n"/>
      <c r="K29" s="6" t="n"/>
      <c r="L29" s="6" t="n"/>
      <c r="M29" s="6" t="n"/>
      <c r="N29" s="6" t="n"/>
      <c r="O29" s="6" t="n"/>
      <c r="P29" s="6" t="n"/>
      <c r="Q29" s="6" t="n"/>
      <c r="R29" s="6" t="n"/>
      <c r="S29" s="6" t="n"/>
      <c r="T29" s="6" t="n"/>
      <c r="U29" s="6" t="n"/>
      <c r="V29" s="6" t="n"/>
      <c r="W29" s="6" t="n"/>
      <c r="X29" s="6" t="n"/>
      <c r="Y29" s="6" t="n"/>
      <c r="Z29" s="6" t="n"/>
    </row>
    <row r="30">
      <c r="A30" s="6" t="n"/>
      <c r="B30" s="24" t="inlineStr">
        <is>
          <t>Group</t>
        </is>
      </c>
      <c r="C30" s="24" t="inlineStr"/>
      <c r="D30" s="24" t="inlineStr">
        <is>
          <t>Filled</t>
        </is>
      </c>
      <c r="E30" s="24" t="inlineStr">
        <is>
          <t>Required</t>
        </is>
      </c>
      <c r="F30" s="24" t="inlineStr">
        <is>
          <t>Filled %</t>
        </is>
      </c>
      <c r="G30" s="24" t="inlineStr"/>
      <c r="H30" s="6" t="n"/>
      <c r="I30" s="6" t="n"/>
      <c r="J30" s="6" t="n"/>
      <c r="K30" s="6" t="n"/>
      <c r="L30" s="6" t="n"/>
      <c r="M30" s="6" t="n"/>
      <c r="N30" s="6" t="n"/>
      <c r="O30" s="6" t="n"/>
      <c r="P30" s="6" t="n"/>
      <c r="Q30" s="6" t="n"/>
      <c r="R30" s="6" t="n"/>
      <c r="S30" s="6" t="n"/>
      <c r="T30" s="6" t="n"/>
      <c r="U30" s="6" t="n"/>
      <c r="V30" s="6" t="n"/>
      <c r="W30" s="6" t="n"/>
      <c r="X30" s="6" t="n"/>
      <c r="Y30" s="6" t="n"/>
      <c r="Z30" s="6" t="n"/>
    </row>
    <row r="31">
      <c r="A31" s="6" t="n"/>
      <c r="B31" s="25">
        <f>IF(INDEX('Dinh bien'!$A$2:$A$300,1)="","",INDEX('Dinh bien'!$A$2:$A$300,1))</f>
        <v/>
      </c>
      <c r="C31" s="25" t="inlineStr"/>
      <c r="D31" s="26">
        <f>IF(INDEX('Dinh bien'!$B$2:$B$300,1)="","",INDEX('Dinh bien'!$B$2:$B$300,1))</f>
        <v/>
      </c>
      <c r="E31" s="26">
        <f>IF(INDEX('Dinh bien'!$C$2:$C$300,1)="","",INDEX('Dinh bien'!$C$2:$C$300,1))</f>
        <v/>
      </c>
      <c r="F31" s="27">
        <f>IF(D31="","",D31/E31)</f>
        <v/>
      </c>
      <c r="G31" s="25" t="inlineStr"/>
      <c r="H31" s="6" t="n"/>
      <c r="I31" s="6" t="n"/>
      <c r="J31" s="6" t="n"/>
      <c r="K31" s="6" t="n"/>
      <c r="L31" s="6" t="n"/>
      <c r="M31" s="6" t="n"/>
      <c r="N31" s="6" t="n"/>
      <c r="O31" s="6" t="n"/>
      <c r="P31" s="6" t="n"/>
      <c r="Q31" s="6" t="n"/>
      <c r="R31" s="6" t="n"/>
      <c r="S31" s="6" t="n"/>
      <c r="T31" s="6" t="n"/>
      <c r="U31" s="6" t="n"/>
      <c r="V31" s="6" t="n"/>
      <c r="W31" s="6" t="n"/>
      <c r="X31" s="6" t="n"/>
      <c r="Y31" s="6" t="n"/>
      <c r="Z31" s="6" t="n"/>
    </row>
    <row r="32">
      <c r="A32" s="6" t="n"/>
      <c r="B32" s="25">
        <f>IF(INDEX('Dinh bien'!$A$2:$A$300,2)="","",INDEX('Dinh bien'!$A$2:$A$300,2))</f>
        <v/>
      </c>
      <c r="C32" s="25" t="inlineStr"/>
      <c r="D32" s="26">
        <f>IF(INDEX('Dinh bien'!$B$2:$B$300,2)="","",INDEX('Dinh bien'!$B$2:$B$300,2))</f>
        <v/>
      </c>
      <c r="E32" s="26">
        <f>IF(INDEX('Dinh bien'!$C$2:$C$300,2)="","",INDEX('Dinh bien'!$C$2:$C$300,2))</f>
        <v/>
      </c>
      <c r="F32" s="27">
        <f>IF(D32="","",D32/E32)</f>
        <v/>
      </c>
      <c r="G32" s="25" t="inlineStr"/>
      <c r="H32" s="6" t="n"/>
      <c r="I32" s="6" t="n"/>
      <c r="J32" s="6" t="n"/>
      <c r="K32" s="6" t="n"/>
      <c r="L32" s="6" t="n"/>
      <c r="M32" s="6" t="n"/>
      <c r="N32" s="6" t="n"/>
      <c r="O32" s="6" t="n"/>
      <c r="P32" s="6" t="n"/>
      <c r="Q32" s="6" t="n"/>
      <c r="R32" s="6" t="n"/>
      <c r="S32" s="6" t="n"/>
      <c r="T32" s="6" t="n"/>
      <c r="U32" s="6" t="n"/>
      <c r="V32" s="6" t="n"/>
      <c r="W32" s="6" t="n"/>
      <c r="X32" s="6" t="n"/>
      <c r="Y32" s="6" t="n"/>
      <c r="Z32" s="6" t="n"/>
    </row>
    <row r="33">
      <c r="A33" s="6" t="n"/>
      <c r="B33" s="25">
        <f>IF(INDEX('Dinh bien'!$A$2:$A$300,3)="","",INDEX('Dinh bien'!$A$2:$A$300,3))</f>
        <v/>
      </c>
      <c r="C33" s="25" t="inlineStr"/>
      <c r="D33" s="26">
        <f>IF(INDEX('Dinh bien'!$B$2:$B$300,3)="","",INDEX('Dinh bien'!$B$2:$B$300,3))</f>
        <v/>
      </c>
      <c r="E33" s="26">
        <f>IF(INDEX('Dinh bien'!$C$2:$C$300,3)="","",INDEX('Dinh bien'!$C$2:$C$300,3))</f>
        <v/>
      </c>
      <c r="F33" s="27">
        <f>IF(D33="","",D33/E33)</f>
        <v/>
      </c>
      <c r="G33" s="25" t="inlineStr"/>
      <c r="H33" s="6" t="n"/>
      <c r="I33" s="6" t="n"/>
      <c r="J33" s="6" t="n"/>
      <c r="K33" s="6" t="n"/>
      <c r="L33" s="6" t="n"/>
      <c r="M33" s="6" t="n"/>
      <c r="N33" s="6" t="n"/>
      <c r="O33" s="6" t="n"/>
      <c r="P33" s="6" t="n"/>
      <c r="Q33" s="6" t="n"/>
      <c r="R33" s="6" t="n"/>
      <c r="S33" s="6" t="n"/>
      <c r="T33" s="6" t="n"/>
      <c r="U33" s="6" t="n"/>
      <c r="V33" s="6" t="n"/>
      <c r="W33" s="6" t="n"/>
      <c r="X33" s="6" t="n"/>
      <c r="Y33" s="6" t="n"/>
      <c r="Z33" s="6" t="n"/>
    </row>
    <row r="34">
      <c r="A34" s="6" t="n"/>
      <c r="B34" s="25">
        <f>IF(INDEX('Dinh bien'!$A$2:$A$300,4)="","",INDEX('Dinh bien'!$A$2:$A$300,4))</f>
        <v/>
      </c>
      <c r="C34" s="25" t="inlineStr"/>
      <c r="D34" s="26">
        <f>IF(INDEX('Dinh bien'!$B$2:$B$300,4)="","",INDEX('Dinh bien'!$B$2:$B$300,4))</f>
        <v/>
      </c>
      <c r="E34" s="26">
        <f>IF(INDEX('Dinh bien'!$C$2:$C$300,4)="","",INDEX('Dinh bien'!$C$2:$C$300,4))</f>
        <v/>
      </c>
      <c r="F34" s="27">
        <f>IF(D34="","",D34/E34)</f>
        <v/>
      </c>
      <c r="G34" s="25" t="inlineStr"/>
      <c r="H34" s="6" t="n"/>
      <c r="I34" s="6" t="n"/>
      <c r="J34" s="6" t="n"/>
      <c r="K34" s="6" t="n"/>
      <c r="L34" s="6" t="n"/>
      <c r="M34" s="6" t="n"/>
      <c r="N34" s="6" t="n"/>
      <c r="O34" s="6" t="n"/>
      <c r="P34" s="6" t="n"/>
      <c r="Q34" s="6" t="n"/>
      <c r="R34" s="6" t="n"/>
      <c r="S34" s="6" t="n"/>
      <c r="T34" s="6" t="n"/>
      <c r="U34" s="6" t="n"/>
      <c r="V34" s="6" t="n"/>
      <c r="W34" s="6" t="n"/>
      <c r="X34" s="6" t="n"/>
      <c r="Y34" s="6" t="n"/>
      <c r="Z34" s="6" t="n"/>
    </row>
    <row r="35">
      <c r="A35" s="6" t="n"/>
      <c r="B35" s="25">
        <f>IF(INDEX('Dinh bien'!$A$2:$A$300,5)="","",INDEX('Dinh bien'!$A$2:$A$300,5))</f>
        <v/>
      </c>
      <c r="C35" s="25" t="inlineStr"/>
      <c r="D35" s="26">
        <f>IF(INDEX('Dinh bien'!$B$2:$B$300,5)="","",INDEX('Dinh bien'!$B$2:$B$300,5))</f>
        <v/>
      </c>
      <c r="E35" s="26">
        <f>IF(INDEX('Dinh bien'!$C$2:$C$300,5)="","",INDEX('Dinh bien'!$C$2:$C$300,5))</f>
        <v/>
      </c>
      <c r="F35" s="27">
        <f>IF(D35="","",D35/E35)</f>
        <v/>
      </c>
      <c r="G35" s="25" t="inlineStr"/>
      <c r="H35" s="6" t="n"/>
      <c r="I35" s="6" t="n"/>
      <c r="J35" s="6" t="n"/>
      <c r="K35" s="6" t="n"/>
      <c r="L35" s="6" t="n"/>
      <c r="M35" s="6" t="n"/>
      <c r="N35" s="6" t="n"/>
      <c r="O35" s="6" t="n"/>
      <c r="P35" s="6" t="n"/>
      <c r="Q35" s="6" t="n"/>
      <c r="R35" s="6" t="n"/>
      <c r="S35" s="6" t="n"/>
      <c r="T35" s="6" t="n"/>
      <c r="U35" s="6" t="n"/>
      <c r="V35" s="6" t="n"/>
      <c r="W35" s="6" t="n"/>
      <c r="X35" s="6" t="n"/>
      <c r="Y35" s="6" t="n"/>
      <c r="Z35" s="6" t="n"/>
    </row>
    <row r="36">
      <c r="A36" s="6" t="n"/>
      <c r="B36" s="6" t="n"/>
      <c r="C36" s="6" t="n"/>
      <c r="D36" s="6" t="n"/>
      <c r="E36" s="6" t="n"/>
      <c r="F36" s="6" t="n"/>
      <c r="G36" s="6" t="n"/>
      <c r="H36" s="6" t="n"/>
      <c r="I36" s="6" t="n"/>
      <c r="J36" s="6" t="n"/>
      <c r="K36" s="6" t="n"/>
      <c r="L36" s="6" t="n"/>
      <c r="M36" s="6" t="n"/>
      <c r="N36" s="6" t="n"/>
      <c r="O36" s="6" t="n"/>
      <c r="P36" s="6" t="n"/>
      <c r="Q36" s="6" t="n"/>
      <c r="R36" s="6" t="n"/>
      <c r="S36" s="6" t="n"/>
      <c r="T36" s="6" t="n"/>
      <c r="U36" s="6" t="n"/>
      <c r="V36" s="6" t="n"/>
      <c r="W36" s="6" t="n"/>
      <c r="X36" s="6" t="n"/>
      <c r="Y36" s="6" t="n"/>
      <c r="Z36" s="6" t="n"/>
    </row>
    <row r="37">
      <c r="A37" s="6" t="n"/>
      <c r="B37" s="28">
        <f>"Vacant positions: "&amp;IFERROR(INDEX('Trang thai cong viec'!$C$2:$C$300,MATCH("Vacant positions",'Trang thai cong viec'!$B$2:$B$300,0)),"—")</f>
        <v/>
      </c>
      <c r="C37" s="6" t="n"/>
      <c r="D37" s="6" t="n"/>
      <c r="E37" s="6" t="n"/>
      <c r="F37" s="6" t="n"/>
      <c r="G37" s="6" t="n"/>
      <c r="H37" s="6" t="n"/>
      <c r="I37" s="6" t="n"/>
      <c r="J37" s="6" t="n"/>
      <c r="K37" s="6" t="n"/>
      <c r="L37" s="6" t="n"/>
      <c r="M37" s="6" t="n"/>
      <c r="N37" s="6" t="n"/>
      <c r="O37" s="6" t="n"/>
      <c r="P37" s="6" t="n"/>
      <c r="Q37" s="6" t="n"/>
      <c r="R37" s="6" t="n"/>
      <c r="S37" s="6" t="n"/>
      <c r="T37" s="6" t="n"/>
      <c r="U37" s="6" t="n"/>
      <c r="V37" s="6" t="n"/>
      <c r="W37" s="6" t="n"/>
      <c r="X37" s="6" t="n"/>
      <c r="Y37" s="6" t="n"/>
      <c r="Z37" s="6" t="n"/>
    </row>
    <row r="38">
      <c r="A38" s="6" t="n"/>
      <c r="B38" s="6" t="n"/>
      <c r="C38" s="6" t="n"/>
      <c r="D38" s="6" t="n"/>
      <c r="E38" s="6" t="n"/>
      <c r="F38" s="6" t="n"/>
      <c r="G38" s="6" t="n"/>
      <c r="H38" s="6" t="n"/>
      <c r="I38" s="6" t="n"/>
      <c r="J38" s="6" t="n"/>
      <c r="K38" s="6" t="n"/>
      <c r="L38" s="6" t="n"/>
      <c r="M38" s="6" t="n"/>
      <c r="N38" s="6" t="n"/>
      <c r="O38" s="6" t="n"/>
      <c r="P38" s="6" t="n"/>
      <c r="Q38" s="6" t="n"/>
      <c r="R38" s="6" t="n"/>
      <c r="S38" s="6" t="n"/>
      <c r="T38" s="6" t="n"/>
      <c r="U38" s="6" t="n"/>
      <c r="V38" s="6" t="n"/>
      <c r="W38" s="6" t="n"/>
      <c r="X38" s="6" t="n"/>
      <c r="Y38" s="6" t="n"/>
      <c r="Z38" s="6" t="n"/>
    </row>
    <row r="39">
      <c r="A39" s="6" t="n"/>
      <c r="B39" s="6" t="n"/>
      <c r="C39" s="6" t="n"/>
      <c r="D39" s="6" t="n"/>
      <c r="E39" s="6" t="n"/>
      <c r="F39" s="6" t="n"/>
      <c r="G39" s="6" t="n"/>
      <c r="H39" s="6" t="n"/>
      <c r="I39" s="6" t="n"/>
      <c r="J39" s="6" t="n"/>
      <c r="K39" s="6" t="n"/>
      <c r="L39" s="6" t="n"/>
      <c r="M39" s="6" t="n"/>
      <c r="N39" s="6" t="n"/>
      <c r="O39" s="6" t="n"/>
      <c r="P39" s="6" t="n"/>
      <c r="Q39" s="6" t="n"/>
      <c r="R39" s="6" t="n"/>
      <c r="S39" s="6" t="n"/>
      <c r="T39" s="6" t="n"/>
      <c r="U39" s="6" t="n"/>
      <c r="V39" s="6" t="n"/>
      <c r="W39" s="6" t="n"/>
      <c r="X39" s="6" t="n"/>
      <c r="Y39" s="6" t="n"/>
      <c r="Z39" s="6" t="n"/>
    </row>
    <row r="40">
      <c r="A40" s="6" t="n"/>
      <c r="B40" s="6" t="n"/>
      <c r="C40" s="6" t="n"/>
      <c r="D40" s="6" t="n"/>
      <c r="E40" s="6" t="n"/>
      <c r="F40" s="6" t="n"/>
      <c r="G40" s="6" t="n"/>
      <c r="H40" s="6" t="n"/>
      <c r="I40" s="6" t="n"/>
      <c r="J40" s="6" t="n"/>
      <c r="K40" s="6" t="n"/>
      <c r="L40" s="6" t="n"/>
      <c r="M40" s="6" t="n"/>
      <c r="N40" s="6" t="n"/>
      <c r="O40" s="6" t="n"/>
      <c r="P40" s="6" t="n"/>
      <c r="Q40" s="6" t="n"/>
      <c r="R40" s="6" t="n"/>
      <c r="S40" s="6" t="n"/>
      <c r="T40" s="6" t="n"/>
      <c r="U40" s="6" t="n"/>
      <c r="V40" s="6" t="n"/>
      <c r="W40" s="6" t="n"/>
      <c r="X40" s="6" t="n"/>
      <c r="Y40" s="6" t="n"/>
      <c r="Z40" s="6" t="n"/>
    </row>
    <row r="41">
      <c r="A41" s="6" t="n"/>
      <c r="B41" s="6" t="n"/>
      <c r="C41" s="6" t="n"/>
      <c r="D41" s="6" t="n"/>
      <c r="E41" s="6" t="n"/>
      <c r="F41" s="6" t="n"/>
      <c r="G41" s="6" t="n"/>
      <c r="H41" s="6" t="n"/>
      <c r="I41" s="6" t="n"/>
      <c r="J41" s="6" t="n"/>
      <c r="K41" s="6" t="n"/>
      <c r="L41" s="6" t="n"/>
      <c r="M41" s="6" t="n"/>
      <c r="N41" s="6" t="n"/>
      <c r="O41" s="6" t="n"/>
      <c r="P41" s="6" t="n"/>
      <c r="Q41" s="6" t="n"/>
      <c r="R41" s="6" t="n"/>
      <c r="S41" s="6" t="n"/>
      <c r="T41" s="6" t="n"/>
      <c r="U41" s="6" t="n"/>
      <c r="V41" s="6" t="n"/>
      <c r="W41" s="6" t="n"/>
      <c r="X41" s="6" t="n"/>
      <c r="Y41" s="6" t="n"/>
      <c r="Z41" s="6" t="n"/>
    </row>
    <row r="42">
      <c r="A42" s="6" t="n"/>
      <c r="B42" s="6" t="n"/>
      <c r="C42" s="6" t="n"/>
      <c r="D42" s="6" t="n"/>
      <c r="E42" s="6" t="n"/>
      <c r="F42" s="6" t="n"/>
      <c r="G42" s="6" t="n"/>
      <c r="H42" s="6" t="n"/>
      <c r="I42" s="6" t="n"/>
      <c r="J42" s="6" t="n"/>
      <c r="K42" s="6" t="n"/>
      <c r="L42" s="6" t="n"/>
      <c r="M42" s="6" t="n"/>
      <c r="N42" s="6" t="n"/>
      <c r="O42" s="6" t="n"/>
      <c r="P42" s="6" t="n"/>
      <c r="Q42" s="6" t="n"/>
      <c r="R42" s="6" t="n"/>
      <c r="S42" s="6" t="n"/>
      <c r="T42" s="6" t="n"/>
      <c r="U42" s="6" t="n"/>
      <c r="V42" s="6" t="n"/>
      <c r="W42" s="6" t="n"/>
      <c r="X42" s="6" t="n"/>
      <c r="Y42" s="6" t="n"/>
      <c r="Z42" s="6" t="n"/>
    </row>
    <row r="43">
      <c r="A43" s="6" t="n"/>
      <c r="B43" s="6" t="n"/>
      <c r="C43" s="6" t="n"/>
      <c r="D43" s="6" t="n"/>
      <c r="E43" s="6" t="n"/>
      <c r="F43" s="6" t="n"/>
      <c r="G43" s="6" t="n"/>
      <c r="H43" s="6" t="n"/>
      <c r="I43" s="6" t="n"/>
      <c r="J43" s="6" t="n"/>
      <c r="K43" s="6" t="n"/>
      <c r="L43" s="6" t="n"/>
      <c r="M43" s="6" t="n"/>
      <c r="N43" s="6" t="n"/>
      <c r="O43" s="6" t="n"/>
      <c r="P43" s="6" t="n"/>
      <c r="Q43" s="6" t="n"/>
      <c r="R43" s="6" t="n"/>
      <c r="S43" s="6" t="n"/>
      <c r="T43" s="6" t="n"/>
      <c r="U43" s="6" t="n"/>
      <c r="V43" s="6" t="n"/>
      <c r="W43" s="6" t="n"/>
      <c r="X43" s="6" t="n"/>
      <c r="Y43" s="6" t="n"/>
      <c r="Z43" s="6" t="n"/>
    </row>
    <row r="44">
      <c r="A44" s="6" t="n"/>
      <c r="B44" s="6" t="n"/>
      <c r="C44" s="6" t="n"/>
      <c r="D44" s="6" t="n"/>
      <c r="E44" s="6" t="n"/>
      <c r="F44" s="6" t="n"/>
      <c r="G44" s="6" t="n"/>
      <c r="H44" s="6" t="n"/>
      <c r="I44" s="6" t="n"/>
      <c r="J44" s="6" t="n"/>
      <c r="K44" s="6" t="n"/>
      <c r="L44" s="6" t="n"/>
      <c r="M44" s="6" t="n"/>
      <c r="N44" s="6" t="n"/>
      <c r="O44" s="6" t="n"/>
      <c r="P44" s="6" t="n"/>
      <c r="Q44" s="6" t="n"/>
      <c r="R44" s="6" t="n"/>
      <c r="S44" s="6" t="n"/>
      <c r="T44" s="6" t="n"/>
      <c r="U44" s="6" t="n"/>
      <c r="V44" s="6" t="n"/>
      <c r="W44" s="6" t="n"/>
      <c r="X44" s="6" t="n"/>
      <c r="Y44" s="6" t="n"/>
      <c r="Z44" s="6" t="n"/>
    </row>
    <row r="45">
      <c r="A45" s="6" t="n"/>
      <c r="B45" s="6" t="n"/>
      <c r="C45" s="6" t="n"/>
      <c r="D45" s="6" t="n"/>
      <c r="E45" s="6" t="n"/>
      <c r="F45" s="6" t="n"/>
      <c r="G45" s="6" t="n"/>
      <c r="H45" s="6" t="n"/>
      <c r="I45" s="6" t="n"/>
      <c r="J45" s="6" t="n"/>
      <c r="K45" s="6" t="n"/>
      <c r="L45" s="6" t="n"/>
      <c r="M45" s="6" t="n"/>
      <c r="N45" s="6" t="n"/>
      <c r="O45" s="6" t="n"/>
      <c r="P45" s="6" t="n"/>
      <c r="Q45" s="6" t="n"/>
      <c r="R45" s="6" t="n"/>
      <c r="S45" s="6" t="n"/>
      <c r="T45" s="6" t="n"/>
      <c r="U45" s="6" t="n"/>
      <c r="V45" s="6" t="n"/>
      <c r="W45" s="6" t="n"/>
      <c r="X45" s="6" t="n"/>
      <c r="Y45" s="6" t="n"/>
      <c r="Z45" s="6" t="n"/>
    </row>
    <row r="46">
      <c r="A46" s="6" t="n"/>
      <c r="B46" s="6" t="n"/>
      <c r="C46" s="6" t="n"/>
      <c r="D46" s="6" t="n"/>
      <c r="E46" s="6" t="n"/>
      <c r="F46" s="6" t="n"/>
      <c r="G46" s="6" t="n"/>
      <c r="H46" s="6" t="n"/>
      <c r="I46" s="6" t="n"/>
      <c r="J46" s="6" t="n"/>
      <c r="K46" s="6" t="n"/>
      <c r="L46" s="6" t="n"/>
      <c r="M46" s="6" t="n"/>
      <c r="N46" s="6" t="n"/>
      <c r="O46" s="6" t="n"/>
      <c r="P46" s="6" t="n"/>
      <c r="Q46" s="6" t="n"/>
      <c r="R46" s="6" t="n"/>
      <c r="S46" s="6" t="n"/>
      <c r="T46" s="6" t="n"/>
      <c r="U46" s="6" t="n"/>
      <c r="V46" s="6" t="n"/>
      <c r="W46" s="6" t="n"/>
      <c r="X46" s="6" t="n"/>
      <c r="Y46" s="6" t="n"/>
      <c r="Z46" s="6" t="n"/>
    </row>
    <row r="47">
      <c r="A47" s="6" t="n"/>
      <c r="B47" s="6" t="n"/>
      <c r="C47" s="6" t="n"/>
      <c r="D47" s="6" t="n"/>
      <c r="E47" s="6" t="n"/>
      <c r="F47" s="6" t="n"/>
      <c r="G47" s="6" t="n"/>
      <c r="H47" s="6" t="n"/>
      <c r="I47" s="6" t="n"/>
      <c r="J47" s="6" t="n"/>
      <c r="K47" s="6" t="n"/>
      <c r="L47" s="6" t="n"/>
      <c r="M47" s="6" t="n"/>
      <c r="N47" s="6" t="n"/>
      <c r="O47" s="6" t="n"/>
      <c r="P47" s="6" t="n"/>
      <c r="Q47" s="6" t="n"/>
      <c r="R47" s="6" t="n"/>
      <c r="S47" s="6" t="n"/>
      <c r="T47" s="6" t="n"/>
      <c r="U47" s="6" t="n"/>
      <c r="V47" s="6" t="n"/>
      <c r="W47" s="6" t="n"/>
      <c r="X47" s="6" t="n"/>
      <c r="Y47" s="6" t="n"/>
      <c r="Z47" s="6" t="n"/>
    </row>
    <row r="48">
      <c r="A48" s="6" t="n"/>
      <c r="B48" s="6" t="n"/>
      <c r="C48" s="6" t="n"/>
      <c r="D48" s="6" t="n"/>
      <c r="E48" s="6" t="n"/>
      <c r="F48" s="6" t="n"/>
      <c r="G48" s="6" t="n"/>
      <c r="H48" s="6" t="n"/>
      <c r="I48" s="6" t="n"/>
      <c r="J48" s="6" t="n"/>
      <c r="K48" s="6" t="n"/>
      <c r="L48" s="6" t="n"/>
      <c r="M48" s="6" t="n"/>
      <c r="N48" s="6" t="n"/>
      <c r="O48" s="6" t="n"/>
      <c r="P48" s="6" t="n"/>
      <c r="Q48" s="6" t="n"/>
      <c r="R48" s="6" t="n"/>
      <c r="S48" s="6" t="n"/>
      <c r="T48" s="6" t="n"/>
      <c r="U48" s="6" t="n"/>
      <c r="V48" s="6" t="n"/>
      <c r="W48" s="6" t="n"/>
      <c r="X48" s="6" t="n"/>
      <c r="Y48" s="6" t="n"/>
      <c r="Z48" s="6" t="n"/>
    </row>
    <row r="49">
      <c r="A49" s="6" t="n"/>
      <c r="B49" s="6" t="n"/>
      <c r="C49" s="6" t="n"/>
      <c r="D49" s="6" t="n"/>
      <c r="E49" s="6" t="n"/>
      <c r="F49" s="6" t="n"/>
      <c r="G49" s="6" t="n"/>
      <c r="H49" s="6" t="n"/>
      <c r="I49" s="6" t="n"/>
      <c r="J49" s="6" t="n"/>
      <c r="K49" s="6" t="n"/>
      <c r="L49" s="6" t="n"/>
      <c r="M49" s="6" t="n"/>
      <c r="N49" s="6" t="n"/>
      <c r="O49" s="6" t="n"/>
      <c r="P49" s="6" t="n"/>
      <c r="Q49" s="6" t="n"/>
      <c r="R49" s="6" t="n"/>
      <c r="S49" s="6" t="n"/>
      <c r="T49" s="6" t="n"/>
      <c r="U49" s="6" t="n"/>
      <c r="V49" s="6" t="n"/>
      <c r="W49" s="6" t="n"/>
      <c r="X49" s="6" t="n"/>
      <c r="Y49" s="6" t="n"/>
      <c r="Z49" s="6" t="n"/>
    </row>
    <row r="50">
      <c r="A50" s="6" t="n"/>
      <c r="B50" s="6" t="n"/>
      <c r="C50" s="6" t="n"/>
      <c r="D50" s="6" t="n"/>
      <c r="E50" s="6" t="n"/>
      <c r="F50" s="6" t="n"/>
      <c r="G50" s="6" t="n"/>
      <c r="H50" s="6" t="n"/>
      <c r="I50" s="6" t="n"/>
      <c r="J50" s="6" t="n"/>
      <c r="K50" s="6" t="n"/>
      <c r="L50" s="6" t="n"/>
      <c r="M50" s="6" t="n"/>
      <c r="N50" s="6" t="n"/>
      <c r="O50" s="6" t="n"/>
      <c r="P50" s="6" t="n"/>
      <c r="Q50" s="6" t="n"/>
      <c r="R50" s="6" t="n"/>
      <c r="S50" s="6" t="n"/>
      <c r="T50" s="6" t="n"/>
      <c r="U50" s="6" t="n"/>
      <c r="V50" s="6" t="n"/>
      <c r="W50" s="6" t="n"/>
      <c r="X50" s="6" t="n"/>
      <c r="Y50" s="6" t="n"/>
      <c r="Z50" s="6" t="n"/>
    </row>
    <row r="51">
      <c r="A51" s="6" t="n"/>
      <c r="B51" s="6" t="n"/>
      <c r="C51" s="6" t="n"/>
      <c r="D51" s="6" t="n"/>
      <c r="E51" s="6" t="n"/>
      <c r="F51" s="6" t="n"/>
      <c r="G51" s="6" t="n"/>
      <c r="H51" s="6" t="n"/>
      <c r="I51" s="6" t="n"/>
      <c r="J51" s="6" t="n"/>
      <c r="K51" s="6" t="n"/>
      <c r="L51" s="6" t="n"/>
      <c r="M51" s="6" t="n"/>
      <c r="N51" s="6" t="n"/>
      <c r="O51" s="6" t="n"/>
      <c r="P51" s="6" t="n"/>
      <c r="Q51" s="6" t="n"/>
      <c r="R51" s="6" t="n"/>
      <c r="S51" s="6" t="n"/>
      <c r="T51" s="6" t="n"/>
      <c r="U51" s="6" t="n"/>
      <c r="V51" s="6" t="n"/>
      <c r="W51" s="6" t="n"/>
      <c r="X51" s="6" t="n"/>
      <c r="Y51" s="6" t="n"/>
      <c r="Z51" s="6" t="n"/>
    </row>
    <row r="52">
      <c r="A52" s="6" t="n"/>
      <c r="B52" s="6" t="n"/>
      <c r="C52" s="6" t="n"/>
      <c r="D52" s="6" t="n"/>
      <c r="E52" s="6" t="n"/>
      <c r="F52" s="6" t="n"/>
      <c r="G52" s="6" t="n"/>
      <c r="H52" s="6" t="n"/>
      <c r="I52" s="6" t="n"/>
      <c r="J52" s="6" t="n"/>
      <c r="K52" s="6" t="n"/>
      <c r="L52" s="6" t="n"/>
      <c r="M52" s="6" t="n"/>
      <c r="N52" s="6" t="n"/>
      <c r="O52" s="6" t="n"/>
      <c r="P52" s="6" t="n"/>
      <c r="Q52" s="6" t="n"/>
      <c r="R52" s="6" t="n"/>
      <c r="S52" s="6" t="n"/>
      <c r="T52" s="6" t="n"/>
      <c r="U52" s="6" t="n"/>
      <c r="V52" s="6" t="n"/>
      <c r="W52" s="6" t="n"/>
      <c r="X52" s="6" t="n"/>
      <c r="Y52" s="6" t="n"/>
      <c r="Z52" s="6" t="n"/>
    </row>
    <row r="53">
      <c r="A53" s="6" t="n"/>
      <c r="B53" s="6" t="n"/>
      <c r="C53" s="6" t="n"/>
      <c r="D53" s="6" t="n"/>
      <c r="E53" s="6" t="n"/>
      <c r="F53" s="6" t="n"/>
      <c r="G53" s="6" t="n"/>
      <c r="H53" s="6" t="n"/>
      <c r="I53" s="6" t="n"/>
      <c r="J53" s="6" t="n"/>
      <c r="K53" s="6" t="n"/>
      <c r="L53" s="6" t="n"/>
      <c r="M53" s="6" t="n"/>
      <c r="N53" s="6" t="n"/>
      <c r="O53" s="6" t="n"/>
      <c r="P53" s="6" t="n"/>
      <c r="Q53" s="6" t="n"/>
      <c r="R53" s="6" t="n"/>
      <c r="S53" s="6" t="n"/>
      <c r="T53" s="6" t="n"/>
      <c r="U53" s="6" t="n"/>
      <c r="V53" s="6" t="n"/>
      <c r="W53" s="6" t="n"/>
      <c r="X53" s="6" t="n"/>
      <c r="Y53" s="6" t="n"/>
      <c r="Z53" s="6" t="n"/>
    </row>
    <row r="54">
      <c r="A54" s="6" t="n"/>
      <c r="B54" s="6" t="n"/>
      <c r="C54" s="6" t="n"/>
      <c r="D54" s="6" t="n"/>
      <c r="E54" s="6" t="n"/>
      <c r="F54" s="6" t="n"/>
      <c r="G54" s="6" t="n"/>
      <c r="H54" s="6" t="n"/>
      <c r="I54" s="6" t="n"/>
      <c r="J54" s="6" t="n"/>
      <c r="K54" s="6" t="n"/>
      <c r="L54" s="6" t="n"/>
      <c r="M54" s="6" t="n"/>
      <c r="N54" s="6" t="n"/>
      <c r="O54" s="6" t="n"/>
      <c r="P54" s="6" t="n"/>
      <c r="Q54" s="6" t="n"/>
      <c r="R54" s="6" t="n"/>
      <c r="S54" s="6" t="n"/>
      <c r="T54" s="6" t="n"/>
      <c r="U54" s="6" t="n"/>
      <c r="V54" s="6" t="n"/>
      <c r="W54" s="6" t="n"/>
      <c r="X54" s="6" t="n"/>
      <c r="Y54" s="6" t="n"/>
      <c r="Z54" s="6" t="n"/>
    </row>
    <row r="55">
      <c r="A55" s="6" t="n"/>
      <c r="B55" s="6" t="n"/>
      <c r="C55" s="6" t="n"/>
      <c r="D55" s="6" t="n"/>
      <c r="E55" s="6" t="n"/>
      <c r="F55" s="6" t="n"/>
      <c r="G55" s="6" t="n"/>
      <c r="H55" s="6" t="n"/>
      <c r="I55" s="6" t="n"/>
      <c r="J55" s="6" t="n"/>
      <c r="K55" s="6" t="n"/>
      <c r="L55" s="6" t="n"/>
      <c r="M55" s="6" t="n"/>
      <c r="N55" s="6" t="n"/>
      <c r="O55" s="6" t="n"/>
      <c r="P55" s="6" t="n"/>
      <c r="Q55" s="6" t="n"/>
      <c r="R55" s="6" t="n"/>
      <c r="S55" s="6" t="n"/>
      <c r="T55" s="6" t="n"/>
      <c r="U55" s="6" t="n"/>
      <c r="V55" s="6" t="n"/>
      <c r="W55" s="6" t="n"/>
      <c r="X55" s="6" t="n"/>
      <c r="Y55" s="6" t="n"/>
      <c r="Z55" s="6" t="n"/>
    </row>
    <row r="56">
      <c r="A56" s="6" t="n"/>
      <c r="B56" s="6" t="n"/>
      <c r="C56" s="6" t="n"/>
      <c r="D56" s="6" t="n"/>
      <c r="E56" s="6" t="n"/>
      <c r="F56" s="6" t="n"/>
      <c r="G56" s="6" t="n"/>
      <c r="H56" s="6" t="n"/>
      <c r="I56" s="6" t="n"/>
      <c r="J56" s="6" t="n"/>
      <c r="K56" s="6" t="n"/>
      <c r="L56" s="6" t="n"/>
      <c r="M56" s="6" t="n"/>
      <c r="N56" s="6" t="n"/>
      <c r="O56" s="6" t="n"/>
      <c r="P56" s="6" t="n"/>
      <c r="Q56" s="6" t="n"/>
      <c r="R56" s="6" t="n"/>
      <c r="S56" s="6" t="n"/>
      <c r="T56" s="6" t="n"/>
      <c r="U56" s="6" t="n"/>
      <c r="V56" s="6" t="n"/>
      <c r="W56" s="6" t="n"/>
      <c r="X56" s="6" t="n"/>
      <c r="Y56" s="6" t="n"/>
      <c r="Z56" s="6" t="n"/>
    </row>
    <row r="57">
      <c r="A57" s="6" t="n"/>
      <c r="B57" s="6" t="n"/>
      <c r="C57" s="6" t="n"/>
      <c r="D57" s="6" t="n"/>
      <c r="E57" s="6" t="n"/>
      <c r="F57" s="6" t="n"/>
      <c r="G57" s="6" t="n"/>
      <c r="H57" s="6" t="n"/>
      <c r="I57" s="6" t="n"/>
      <c r="J57" s="6" t="n"/>
      <c r="K57" s="6" t="n"/>
      <c r="L57" s="6" t="n"/>
      <c r="M57" s="6" t="n"/>
      <c r="N57" s="6" t="n"/>
      <c r="O57" s="6" t="n"/>
      <c r="P57" s="6" t="n"/>
      <c r="Q57" s="6" t="n"/>
      <c r="R57" s="6" t="n"/>
      <c r="S57" s="6" t="n"/>
      <c r="T57" s="6" t="n"/>
      <c r="U57" s="6" t="n"/>
      <c r="V57" s="6" t="n"/>
      <c r="W57" s="6" t="n"/>
      <c r="X57" s="6" t="n"/>
      <c r="Y57" s="6" t="n"/>
      <c r="Z57" s="6" t="n"/>
    </row>
    <row r="58">
      <c r="A58" s="6" t="n"/>
      <c r="B58" s="6" t="n"/>
      <c r="C58" s="6" t="n"/>
      <c r="D58" s="6" t="n"/>
      <c r="E58" s="6" t="n"/>
      <c r="F58" s="6" t="n"/>
      <c r="G58" s="6" t="n"/>
      <c r="H58" s="6" t="n"/>
      <c r="I58" s="6" t="n"/>
      <c r="J58" s="6" t="n"/>
      <c r="K58" s="6" t="n"/>
      <c r="L58" s="6" t="n"/>
      <c r="M58" s="6" t="n"/>
      <c r="N58" s="6" t="n"/>
      <c r="O58" s="6" t="n"/>
      <c r="P58" s="6" t="n"/>
      <c r="Q58" s="6" t="n"/>
      <c r="R58" s="6" t="n"/>
      <c r="S58" s="6" t="n"/>
      <c r="T58" s="6" t="n"/>
      <c r="U58" s="6" t="n"/>
      <c r="V58" s="6" t="n"/>
      <c r="W58" s="6" t="n"/>
      <c r="X58" s="6" t="n"/>
      <c r="Y58" s="6" t="n"/>
      <c r="Z58" s="6" t="n"/>
    </row>
    <row r="59">
      <c r="A59" s="6" t="n"/>
      <c r="B59" s="6" t="n"/>
      <c r="C59" s="6" t="n"/>
      <c r="D59" s="6" t="n"/>
      <c r="E59" s="6" t="n"/>
      <c r="F59" s="6" t="n"/>
      <c r="G59" s="6" t="n"/>
      <c r="H59" s="6" t="n"/>
      <c r="I59" s="6" t="n"/>
      <c r="J59" s="6" t="n"/>
      <c r="K59" s="6" t="n"/>
      <c r="L59" s="6" t="n"/>
      <c r="M59" s="6" t="n"/>
      <c r="N59" s="6" t="n"/>
      <c r="O59" s="6" t="n"/>
      <c r="P59" s="6" t="n"/>
      <c r="Q59" s="6" t="n"/>
      <c r="R59" s="6" t="n"/>
      <c r="S59" s="6" t="n"/>
      <c r="T59" s="6" t="n"/>
      <c r="U59" s="6" t="n"/>
      <c r="V59" s="6" t="n"/>
      <c r="W59" s="6" t="n"/>
      <c r="X59" s="6" t="n"/>
      <c r="Y59" s="6" t="n"/>
      <c r="Z59" s="6" t="n"/>
    </row>
    <row r="60">
      <c r="A60" s="6" t="n"/>
      <c r="B60" s="6" t="n"/>
      <c r="C60" s="6" t="n"/>
      <c r="D60" s="6" t="n"/>
      <c r="E60" s="6" t="n"/>
      <c r="F60" s="6" t="n"/>
      <c r="G60" s="6" t="n"/>
      <c r="H60" s="6" t="n"/>
      <c r="I60" s="6" t="n"/>
      <c r="J60" s="6" t="n"/>
      <c r="K60" s="6" t="n"/>
      <c r="L60" s="6" t="n"/>
      <c r="M60" s="6" t="n"/>
      <c r="N60" s="6" t="n"/>
      <c r="O60" s="6" t="n"/>
      <c r="P60" s="6" t="n"/>
      <c r="Q60" s="6" t="n"/>
      <c r="R60" s="6" t="n"/>
      <c r="S60" s="6" t="n"/>
      <c r="T60" s="6" t="n"/>
      <c r="U60" s="6" t="n"/>
      <c r="V60" s="6" t="n"/>
      <c r="W60" s="6" t="n"/>
      <c r="X60" s="6" t="n"/>
      <c r="Y60" s="6" t="n"/>
      <c r="Z60" s="6" t="n"/>
    </row>
    <row r="61">
      <c r="A61" s="6" t="n"/>
      <c r="B61" s="6" t="n"/>
      <c r="C61" s="6" t="n"/>
      <c r="D61" s="6" t="n"/>
      <c r="E61" s="6" t="n"/>
      <c r="F61" s="6" t="n"/>
      <c r="G61" s="6" t="n"/>
      <c r="H61" s="6" t="n"/>
      <c r="I61" s="6" t="n"/>
      <c r="J61" s="6" t="n"/>
      <c r="K61" s="6" t="n"/>
      <c r="L61" s="6" t="n"/>
      <c r="M61" s="6" t="n"/>
      <c r="N61" s="6" t="n"/>
      <c r="O61" s="6" t="n"/>
      <c r="P61" s="6" t="n"/>
      <c r="Q61" s="6" t="n"/>
      <c r="R61" s="6" t="n"/>
      <c r="S61" s="6" t="n"/>
      <c r="T61" s="6" t="n"/>
      <c r="U61" s="6" t="n"/>
      <c r="V61" s="6" t="n"/>
      <c r="W61" s="6" t="n"/>
      <c r="X61" s="6" t="n"/>
      <c r="Y61" s="6" t="n"/>
      <c r="Z61" s="6" t="n"/>
    </row>
    <row r="62">
      <c r="A62" s="6" t="n"/>
      <c r="B62" s="6" t="n"/>
      <c r="C62" s="6" t="n"/>
      <c r="D62" s="6" t="n"/>
      <c r="E62" s="6" t="n"/>
      <c r="F62" s="6" t="n"/>
      <c r="G62" s="6" t="n"/>
      <c r="H62" s="6" t="n"/>
      <c r="I62" s="6" t="n"/>
      <c r="J62" s="6" t="n"/>
      <c r="K62" s="6" t="n"/>
      <c r="L62" s="6" t="n"/>
      <c r="M62" s="6" t="n"/>
      <c r="N62" s="6" t="n"/>
      <c r="O62" s="6" t="n"/>
      <c r="P62" s="6" t="n"/>
      <c r="Q62" s="6" t="n"/>
      <c r="R62" s="6" t="n"/>
      <c r="S62" s="6" t="n"/>
      <c r="T62" s="6" t="n"/>
      <c r="U62" s="6" t="n"/>
      <c r="V62" s="6" t="n"/>
      <c r="W62" s="6" t="n"/>
      <c r="X62" s="6" t="n"/>
      <c r="Y62" s="6" t="n"/>
      <c r="Z62" s="6" t="n"/>
    </row>
    <row r="63">
      <c r="A63" s="6" t="n"/>
      <c r="B63" s="6" t="n"/>
      <c r="C63" s="6" t="n"/>
      <c r="D63" s="6" t="n"/>
      <c r="E63" s="6" t="n"/>
      <c r="F63" s="6" t="n"/>
      <c r="G63" s="6" t="n"/>
      <c r="H63" s="6" t="n"/>
      <c r="I63" s="6" t="n"/>
      <c r="J63" s="6" t="n"/>
      <c r="K63" s="6" t="n"/>
      <c r="L63" s="6" t="n"/>
      <c r="M63" s="6" t="n"/>
      <c r="N63" s="6" t="n"/>
      <c r="O63" s="6" t="n"/>
      <c r="P63" s="6" t="n"/>
      <c r="Q63" s="6" t="n"/>
      <c r="R63" s="6" t="n"/>
      <c r="S63" s="6" t="n"/>
      <c r="T63" s="6" t="n"/>
      <c r="U63" s="6" t="n"/>
      <c r="V63" s="6" t="n"/>
      <c r="W63" s="6" t="n"/>
      <c r="X63" s="6" t="n"/>
      <c r="Y63" s="6" t="n"/>
      <c r="Z63" s="6" t="n"/>
    </row>
    <row r="64">
      <c r="A64" s="6" t="n"/>
      <c r="B64" s="6" t="n"/>
      <c r="C64" s="6" t="n"/>
      <c r="D64" s="6" t="n"/>
      <c r="E64" s="6" t="n"/>
      <c r="F64" s="6" t="n"/>
      <c r="G64" s="6" t="n"/>
      <c r="H64" s="6" t="n"/>
      <c r="I64" s="6" t="n"/>
      <c r="J64" s="6" t="n"/>
      <c r="K64" s="6" t="n"/>
      <c r="L64" s="6" t="n"/>
      <c r="M64" s="6" t="n"/>
      <c r="N64" s="6" t="n"/>
      <c r="O64" s="6" t="n"/>
      <c r="P64" s="6" t="n"/>
      <c r="Q64" s="6" t="n"/>
      <c r="R64" s="6" t="n"/>
      <c r="S64" s="6" t="n"/>
      <c r="T64" s="6" t="n"/>
      <c r="U64" s="6" t="n"/>
      <c r="V64" s="6" t="n"/>
      <c r="W64" s="6" t="n"/>
      <c r="X64" s="6" t="n"/>
      <c r="Y64" s="6" t="n"/>
      <c r="Z64" s="6" t="n"/>
    </row>
    <row r="65">
      <c r="A65" s="6" t="n"/>
      <c r="B65" s="6" t="n"/>
      <c r="C65" s="6" t="n"/>
      <c r="D65" s="6" t="n"/>
      <c r="E65" s="6" t="n"/>
      <c r="F65" s="6" t="n"/>
      <c r="G65" s="6" t="n"/>
      <c r="H65" s="6" t="n"/>
      <c r="I65" s="6" t="n"/>
      <c r="J65" s="6" t="n"/>
      <c r="K65" s="6" t="n"/>
      <c r="L65" s="6" t="n"/>
      <c r="M65" s="6" t="n"/>
      <c r="N65" s="6" t="n"/>
      <c r="O65" s="6" t="n"/>
      <c r="P65" s="6" t="n"/>
      <c r="Q65" s="6" t="n"/>
      <c r="R65" s="6" t="n"/>
      <c r="S65" s="6" t="n"/>
      <c r="T65" s="6" t="n"/>
      <c r="U65" s="6" t="n"/>
      <c r="V65" s="6" t="n"/>
      <c r="W65" s="6" t="n"/>
      <c r="X65" s="6" t="n"/>
      <c r="Y65" s="6" t="n"/>
      <c r="Z65" s="6" t="n"/>
    </row>
    <row r="66">
      <c r="A66" s="6" t="n"/>
      <c r="B66" s="6" t="n"/>
      <c r="C66" s="6" t="n"/>
      <c r="D66" s="6" t="n"/>
      <c r="E66" s="6" t="n"/>
      <c r="F66" s="6" t="n"/>
      <c r="G66" s="6" t="n"/>
      <c r="H66" s="6" t="n"/>
      <c r="I66" s="6" t="n"/>
      <c r="J66" s="6" t="n"/>
      <c r="K66" s="6" t="n"/>
      <c r="L66" s="6" t="n"/>
      <c r="M66" s="6" t="n"/>
      <c r="N66" s="6" t="n"/>
      <c r="O66" s="6" t="n"/>
      <c r="P66" s="6" t="n"/>
      <c r="Q66" s="6" t="n"/>
      <c r="R66" s="6" t="n"/>
      <c r="S66" s="6" t="n"/>
      <c r="T66" s="6" t="n"/>
      <c r="U66" s="6" t="n"/>
      <c r="V66" s="6" t="n"/>
      <c r="W66" s="6" t="n"/>
      <c r="X66" s="6" t="n"/>
      <c r="Y66" s="6" t="n"/>
      <c r="Z66" s="6" t="n"/>
    </row>
    <row r="67">
      <c r="A67" s="6" t="n"/>
      <c r="B67" s="6" t="n"/>
      <c r="C67" s="6" t="n"/>
      <c r="D67" s="6" t="n"/>
      <c r="E67" s="6" t="n"/>
      <c r="F67" s="6" t="n"/>
      <c r="G67" s="6" t="n"/>
      <c r="H67" s="6" t="n"/>
      <c r="I67" s="6" t="n"/>
      <c r="J67" s="6" t="n"/>
      <c r="K67" s="6" t="n"/>
      <c r="L67" s="6" t="n"/>
      <c r="M67" s="6" t="n"/>
      <c r="N67" s="6" t="n"/>
      <c r="O67" s="6" t="n"/>
      <c r="P67" s="6" t="n"/>
      <c r="Q67" s="6" t="n"/>
      <c r="R67" s="6" t="n"/>
      <c r="S67" s="6" t="n"/>
      <c r="T67" s="6" t="n"/>
      <c r="U67" s="6" t="n"/>
      <c r="V67" s="6" t="n"/>
      <c r="W67" s="6" t="n"/>
      <c r="X67" s="6" t="n"/>
      <c r="Y67" s="6" t="n"/>
      <c r="Z67" s="6" t="n"/>
    </row>
    <row r="68">
      <c r="A68" s="6" t="n"/>
      <c r="B68" s="6" t="n"/>
      <c r="C68" s="6" t="n"/>
      <c r="D68" s="6" t="n"/>
      <c r="E68" s="6" t="n"/>
      <c r="F68" s="6" t="n"/>
      <c r="G68" s="6" t="n"/>
      <c r="H68" s="6" t="n"/>
      <c r="I68" s="6" t="n"/>
      <c r="J68" s="6" t="n"/>
      <c r="K68" s="6" t="n"/>
      <c r="L68" s="6" t="n"/>
      <c r="M68" s="6" t="n"/>
      <c r="N68" s="6" t="n"/>
      <c r="O68" s="6" t="n"/>
      <c r="P68" s="6" t="n"/>
      <c r="Q68" s="6" t="n"/>
      <c r="R68" s="6" t="n"/>
      <c r="S68" s="6" t="n"/>
      <c r="T68" s="6" t="n"/>
      <c r="U68" s="6" t="n"/>
      <c r="V68" s="6" t="n"/>
      <c r="W68" s="6" t="n"/>
      <c r="X68" s="6" t="n"/>
      <c r="Y68" s="6" t="n"/>
      <c r="Z68" s="6" t="n"/>
    </row>
    <row r="69">
      <c r="A69" s="6" t="n"/>
      <c r="B69" s="6" t="n"/>
      <c r="C69" s="6" t="n"/>
      <c r="D69" s="6" t="n"/>
      <c r="E69" s="6" t="n"/>
      <c r="F69" s="6" t="n"/>
      <c r="G69" s="6" t="n"/>
      <c r="H69" s="6" t="n"/>
      <c r="I69" s="6" t="n"/>
      <c r="J69" s="6" t="n"/>
      <c r="K69" s="6" t="n"/>
      <c r="L69" s="6" t="n"/>
      <c r="M69" s="6" t="n"/>
      <c r="N69" s="6" t="n"/>
      <c r="O69" s="6" t="n"/>
      <c r="P69" s="6" t="n"/>
      <c r="Q69" s="6" t="n"/>
      <c r="R69" s="6" t="n"/>
      <c r="S69" s="6" t="n"/>
      <c r="T69" s="6" t="n"/>
      <c r="U69" s="6" t="n"/>
      <c r="V69" s="6" t="n"/>
      <c r="W69" s="6" t="n"/>
      <c r="X69" s="6" t="n"/>
      <c r="Y69" s="6" t="n"/>
      <c r="Z69" s="6" t="n"/>
    </row>
    <row r="70">
      <c r="A70" s="6" t="n"/>
      <c r="B70" s="6" t="n"/>
      <c r="C70" s="6" t="n"/>
      <c r="D70" s="6" t="n"/>
      <c r="E70" s="6" t="n"/>
      <c r="F70" s="6" t="n"/>
      <c r="G70" s="6" t="n"/>
      <c r="H70" s="6" t="n"/>
      <c r="I70" s="6" t="n"/>
      <c r="J70" s="6" t="n"/>
      <c r="K70" s="6" t="n"/>
      <c r="L70" s="6" t="n"/>
      <c r="M70" s="6" t="n"/>
      <c r="N70" s="6" t="n"/>
      <c r="O70" s="6" t="n"/>
      <c r="P70" s="6" t="n"/>
      <c r="Q70" s="6" t="n"/>
      <c r="R70" s="6" t="n"/>
      <c r="S70" s="6" t="n"/>
      <c r="T70" s="6" t="n"/>
      <c r="U70" s="6" t="n"/>
      <c r="V70" s="6" t="n"/>
      <c r="W70" s="6" t="n"/>
      <c r="X70" s="6" t="n"/>
      <c r="Y70" s="6" t="n"/>
      <c r="Z70" s="6" t="n"/>
    </row>
    <row r="71">
      <c r="A71" s="6" t="n"/>
      <c r="B71" s="6" t="n"/>
      <c r="C71" s="6" t="n"/>
      <c r="D71" s="6" t="n"/>
      <c r="E71" s="6" t="n"/>
      <c r="F71" s="6" t="n"/>
      <c r="G71" s="6" t="n"/>
      <c r="H71" s="6" t="n"/>
      <c r="I71" s="6" t="n"/>
      <c r="J71" s="6" t="n"/>
      <c r="K71" s="6" t="n"/>
      <c r="L71" s="6" t="n"/>
      <c r="M71" s="6" t="n"/>
      <c r="N71" s="6" t="n"/>
      <c r="O71" s="6" t="n"/>
      <c r="P71" s="6" t="n"/>
      <c r="Q71" s="6" t="n"/>
      <c r="R71" s="6" t="n"/>
      <c r="S71" s="6" t="n"/>
      <c r="T71" s="6" t="n"/>
      <c r="U71" s="6" t="n"/>
      <c r="V71" s="6" t="n"/>
      <c r="W71" s="6" t="n"/>
      <c r="X71" s="6" t="n"/>
      <c r="Y71" s="6" t="n"/>
      <c r="Z71" s="6" t="n"/>
    </row>
    <row r="72">
      <c r="A72" s="6" t="n"/>
      <c r="B72" s="6" t="n"/>
      <c r="C72" s="6" t="n"/>
      <c r="D72" s="6" t="n"/>
      <c r="E72" s="6" t="n"/>
      <c r="F72" s="6" t="n"/>
      <c r="G72" s="6" t="n"/>
      <c r="H72" s="6" t="n"/>
      <c r="I72" s="6" t="n"/>
      <c r="J72" s="6" t="n"/>
      <c r="K72" s="6" t="n"/>
      <c r="L72" s="6" t="n"/>
      <c r="M72" s="6" t="n"/>
      <c r="N72" s="6" t="n"/>
      <c r="O72" s="6" t="n"/>
      <c r="P72" s="6" t="n"/>
      <c r="Q72" s="6" t="n"/>
      <c r="R72" s="6" t="n"/>
      <c r="S72" s="6" t="n"/>
      <c r="T72" s="6" t="n"/>
      <c r="U72" s="6" t="n"/>
      <c r="V72" s="6" t="n"/>
      <c r="W72" s="6" t="n"/>
      <c r="X72" s="6" t="n"/>
      <c r="Y72" s="6" t="n"/>
      <c r="Z72" s="6" t="n"/>
    </row>
    <row r="73">
      <c r="A73" s="6" t="n"/>
      <c r="B73" s="6" t="n"/>
      <c r="C73" s="6" t="n"/>
      <c r="D73" s="6" t="n"/>
      <c r="E73" s="6" t="n"/>
      <c r="F73" s="6" t="n"/>
      <c r="G73" s="6" t="n"/>
      <c r="H73" s="6" t="n"/>
      <c r="I73" s="6" t="n"/>
      <c r="J73" s="6" t="n"/>
      <c r="K73" s="6" t="n"/>
      <c r="L73" s="6" t="n"/>
      <c r="M73" s="6" t="n"/>
      <c r="N73" s="6" t="n"/>
      <c r="O73" s="6" t="n"/>
      <c r="P73" s="6" t="n"/>
      <c r="Q73" s="6" t="n"/>
      <c r="R73" s="6" t="n"/>
      <c r="S73" s="6" t="n"/>
      <c r="T73" s="6" t="n"/>
      <c r="U73" s="6" t="n"/>
      <c r="V73" s="6" t="n"/>
      <c r="W73" s="6" t="n"/>
      <c r="X73" s="6" t="n"/>
      <c r="Y73" s="6" t="n"/>
      <c r="Z73" s="6" t="n"/>
    </row>
    <row r="74">
      <c r="A74" s="6" t="n"/>
      <c r="B74" s="6" t="n"/>
      <c r="C74" s="6" t="n"/>
      <c r="D74" s="6" t="n"/>
      <c r="E74" s="6" t="n"/>
      <c r="F74" s="6" t="n"/>
      <c r="G74" s="6" t="n"/>
      <c r="H74" s="6" t="n"/>
      <c r="I74" s="6" t="n"/>
      <c r="J74" s="6" t="n"/>
      <c r="K74" s="6" t="n"/>
      <c r="L74" s="6" t="n"/>
      <c r="M74" s="6" t="n"/>
      <c r="N74" s="6" t="n"/>
      <c r="O74" s="6" t="n"/>
      <c r="P74" s="6" t="n"/>
      <c r="Q74" s="6" t="n"/>
      <c r="R74" s="6" t="n"/>
      <c r="S74" s="6" t="n"/>
      <c r="T74" s="6" t="n"/>
      <c r="U74" s="6" t="n"/>
      <c r="V74" s="6" t="n"/>
      <c r="W74" s="6" t="n"/>
      <c r="X74" s="6" t="n"/>
      <c r="Y74" s="6" t="n"/>
      <c r="Z74" s="6" t="n"/>
    </row>
    <row r="75">
      <c r="A75" s="6" t="n"/>
      <c r="B75" s="6" t="n"/>
      <c r="C75" s="6" t="n"/>
      <c r="D75" s="6" t="n"/>
      <c r="E75" s="6" t="n"/>
      <c r="F75" s="6" t="n"/>
      <c r="G75" s="6" t="n"/>
      <c r="H75" s="6" t="n"/>
      <c r="I75" s="6" t="n"/>
      <c r="J75" s="6" t="n"/>
      <c r="K75" s="6" t="n"/>
      <c r="L75" s="6" t="n"/>
      <c r="M75" s="6" t="n"/>
      <c r="N75" s="6" t="n"/>
      <c r="O75" s="6" t="n"/>
      <c r="P75" s="6" t="n"/>
      <c r="Q75" s="6" t="n"/>
      <c r="R75" s="6" t="n"/>
      <c r="S75" s="6" t="n"/>
      <c r="T75" s="6" t="n"/>
      <c r="U75" s="6" t="n"/>
      <c r="V75" s="6" t="n"/>
      <c r="W75" s="6" t="n"/>
      <c r="X75" s="6" t="n"/>
      <c r="Y75" s="6" t="n"/>
      <c r="Z75" s="6" t="n"/>
    </row>
    <row r="76">
      <c r="A76" s="6" t="n"/>
      <c r="B76" s="6" t="n"/>
      <c r="C76" s="6" t="n"/>
      <c r="D76" s="6" t="n"/>
      <c r="E76" s="6" t="n"/>
      <c r="F76" s="6" t="n"/>
      <c r="G76" s="6" t="n"/>
      <c r="H76" s="6" t="n"/>
      <c r="I76" s="6" t="n"/>
      <c r="J76" s="6" t="n"/>
      <c r="K76" s="6" t="n"/>
      <c r="L76" s="6" t="n"/>
      <c r="M76" s="6" t="n"/>
      <c r="N76" s="6" t="n"/>
      <c r="O76" s="6" t="n"/>
      <c r="P76" s="6" t="n"/>
      <c r="Q76" s="6" t="n"/>
      <c r="R76" s="6" t="n"/>
      <c r="S76" s="6" t="n"/>
      <c r="T76" s="6" t="n"/>
      <c r="U76" s="6" t="n"/>
      <c r="V76" s="6" t="n"/>
      <c r="W76" s="6" t="n"/>
      <c r="X76" s="6" t="n"/>
      <c r="Y76" s="6" t="n"/>
      <c r="Z76" s="6" t="n"/>
    </row>
    <row r="77">
      <c r="A77" s="6" t="n"/>
      <c r="B77" s="6" t="n"/>
      <c r="C77" s="6" t="n"/>
      <c r="D77" s="6" t="n"/>
      <c r="E77" s="6" t="n"/>
      <c r="F77" s="6" t="n"/>
      <c r="G77" s="6" t="n"/>
      <c r="H77" s="6" t="n"/>
      <c r="I77" s="6" t="n"/>
      <c r="J77" s="6" t="n"/>
      <c r="K77" s="6" t="n"/>
      <c r="L77" s="6" t="n"/>
      <c r="M77" s="6" t="n"/>
      <c r="N77" s="6" t="n"/>
      <c r="O77" s="6" t="n"/>
      <c r="P77" s="6" t="n"/>
      <c r="Q77" s="6" t="n"/>
      <c r="R77" s="6" t="n"/>
      <c r="S77" s="6" t="n"/>
      <c r="T77" s="6" t="n"/>
      <c r="U77" s="6" t="n"/>
      <c r="V77" s="6" t="n"/>
      <c r="W77" s="6" t="n"/>
      <c r="X77" s="6" t="n"/>
      <c r="Y77" s="6" t="n"/>
      <c r="Z77" s="6" t="n"/>
    </row>
    <row r="78">
      <c r="A78" s="6" t="n"/>
      <c r="B78" s="6" t="n"/>
      <c r="C78" s="6" t="n"/>
      <c r="D78" s="6" t="n"/>
      <c r="E78" s="6" t="n"/>
      <c r="F78" s="6" t="n"/>
      <c r="G78" s="6" t="n"/>
      <c r="H78" s="6" t="n"/>
      <c r="I78" s="6" t="n"/>
      <c r="J78" s="6" t="n"/>
      <c r="K78" s="6" t="n"/>
      <c r="L78" s="6" t="n"/>
      <c r="M78" s="6" t="n"/>
      <c r="N78" s="6" t="n"/>
      <c r="O78" s="6" t="n"/>
      <c r="P78" s="6" t="n"/>
      <c r="Q78" s="6" t="n"/>
      <c r="R78" s="6" t="n"/>
      <c r="S78" s="6" t="n"/>
      <c r="T78" s="6" t="n"/>
      <c r="U78" s="6" t="n"/>
      <c r="V78" s="6" t="n"/>
      <c r="W78" s="6" t="n"/>
      <c r="X78" s="6" t="n"/>
      <c r="Y78" s="6" t="n"/>
      <c r="Z78" s="6" t="n"/>
    </row>
    <row r="79">
      <c r="A79" s="6" t="n"/>
      <c r="B79" s="6" t="n"/>
      <c r="C79" s="6" t="n"/>
      <c r="D79" s="6" t="n"/>
      <c r="E79" s="6" t="n"/>
      <c r="F79" s="6" t="n"/>
      <c r="G79" s="6" t="n"/>
      <c r="H79" s="6" t="n"/>
      <c r="I79" s="6" t="n"/>
      <c r="J79" s="6" t="n"/>
      <c r="K79" s="6" t="n"/>
      <c r="L79" s="6" t="n"/>
      <c r="M79" s="6" t="n"/>
      <c r="N79" s="6" t="n"/>
      <c r="O79" s="6" t="n"/>
      <c r="P79" s="6" t="n"/>
      <c r="Q79" s="6" t="n"/>
      <c r="R79" s="6" t="n"/>
      <c r="S79" s="6" t="n"/>
      <c r="T79" s="6" t="n"/>
      <c r="U79" s="6" t="n"/>
      <c r="V79" s="6" t="n"/>
      <c r="W79" s="6" t="n"/>
      <c r="X79" s="6" t="n"/>
      <c r="Y79" s="6" t="n"/>
      <c r="Z79" s="6" t="n"/>
    </row>
    <row r="80">
      <c r="A80" s="6" t="n"/>
      <c r="B80" s="6" t="n"/>
      <c r="C80" s="6" t="n"/>
      <c r="D80" s="6" t="n"/>
      <c r="E80" s="6" t="n"/>
      <c r="F80" s="6" t="n"/>
      <c r="G80" s="6" t="n"/>
      <c r="H80" s="6" t="n"/>
      <c r="I80" s="6" t="n"/>
      <c r="J80" s="6" t="n"/>
      <c r="K80" s="6" t="n"/>
      <c r="L80" s="6" t="n"/>
      <c r="M80" s="6" t="n"/>
      <c r="N80" s="6" t="n"/>
      <c r="O80" s="6" t="n"/>
      <c r="P80" s="6" t="n"/>
      <c r="Q80" s="6" t="n"/>
      <c r="R80" s="6" t="n"/>
      <c r="S80" s="6" t="n"/>
      <c r="T80" s="6" t="n"/>
      <c r="U80" s="6" t="n"/>
      <c r="V80" s="6" t="n"/>
      <c r="W80" s="6" t="n"/>
      <c r="X80" s="6" t="n"/>
      <c r="Y80" s="6" t="n"/>
      <c r="Z80" s="6" t="n"/>
    </row>
    <row r="81">
      <c r="A81" s="6" t="n"/>
      <c r="B81" s="6" t="n"/>
      <c r="C81" s="6" t="n"/>
      <c r="D81" s="6" t="n"/>
      <c r="E81" s="6" t="n"/>
      <c r="F81" s="6" t="n"/>
      <c r="G81" s="6" t="n"/>
      <c r="H81" s="6" t="n"/>
      <c r="I81" s="6" t="n"/>
      <c r="J81" s="6" t="n"/>
      <c r="K81" s="6" t="n"/>
      <c r="L81" s="6" t="n"/>
      <c r="M81" s="6" t="n"/>
      <c r="N81" s="6" t="n"/>
      <c r="O81" s="6" t="n"/>
      <c r="P81" s="6" t="n"/>
      <c r="Q81" s="6" t="n"/>
      <c r="R81" s="6" t="n"/>
      <c r="S81" s="6" t="n"/>
      <c r="T81" s="6" t="n"/>
      <c r="U81" s="6" t="n"/>
      <c r="V81" s="6" t="n"/>
      <c r="W81" s="6" t="n"/>
      <c r="X81" s="6" t="n"/>
      <c r="Y81" s="6" t="n"/>
      <c r="Z81" s="6" t="n"/>
    </row>
    <row r="82">
      <c r="A82" s="6" t="n"/>
      <c r="B82" s="6" t="n"/>
      <c r="C82" s="6" t="n"/>
      <c r="D82" s="6" t="n"/>
      <c r="E82" s="6" t="n"/>
      <c r="F82" s="6" t="n"/>
      <c r="G82" s="6" t="n"/>
      <c r="H82" s="6" t="n"/>
      <c r="I82" s="6" t="n"/>
      <c r="J82" s="6" t="n"/>
      <c r="K82" s="6" t="n"/>
      <c r="L82" s="6" t="n"/>
      <c r="M82" s="6" t="n"/>
      <c r="N82" s="6" t="n"/>
      <c r="O82" s="6" t="n"/>
      <c r="P82" s="6" t="n"/>
      <c r="Q82" s="6" t="n"/>
      <c r="R82" s="6" t="n"/>
      <c r="S82" s="6" t="n"/>
      <c r="T82" s="6" t="n"/>
      <c r="U82" s="6" t="n"/>
      <c r="V82" s="6" t="n"/>
      <c r="W82" s="6" t="n"/>
      <c r="X82" s="6" t="n"/>
      <c r="Y82" s="6" t="n"/>
      <c r="Z82" s="6" t="n"/>
    </row>
    <row r="83">
      <c r="A83" s="6" t="n"/>
      <c r="B83" s="6" t="n"/>
      <c r="C83" s="6" t="n"/>
      <c r="D83" s="6" t="n"/>
      <c r="E83" s="6" t="n"/>
      <c r="F83" s="6" t="n"/>
      <c r="G83" s="6" t="n"/>
      <c r="H83" s="6" t="n"/>
      <c r="I83" s="6" t="n"/>
      <c r="J83" s="6" t="n"/>
      <c r="K83" s="6" t="n"/>
      <c r="L83" s="6" t="n"/>
      <c r="M83" s="6" t="n"/>
      <c r="N83" s="6" t="n"/>
      <c r="O83" s="6" t="n"/>
      <c r="P83" s="6" t="n"/>
      <c r="Q83" s="6" t="n"/>
      <c r="R83" s="6" t="n"/>
      <c r="S83" s="6" t="n"/>
      <c r="T83" s="6" t="n"/>
      <c r="U83" s="6" t="n"/>
      <c r="V83" s="6" t="n"/>
      <c r="W83" s="6" t="n"/>
      <c r="X83" s="6" t="n"/>
      <c r="Y83" s="6" t="n"/>
      <c r="Z83" s="6" t="n"/>
    </row>
    <row r="84">
      <c r="A84" s="6" t="n"/>
      <c r="B84" s="6" t="n"/>
      <c r="C84" s="6" t="n"/>
      <c r="D84" s="6" t="n"/>
      <c r="E84" s="6" t="n"/>
      <c r="F84" s="6" t="n"/>
      <c r="G84" s="6" t="n"/>
      <c r="H84" s="6" t="n"/>
      <c r="I84" s="6" t="n"/>
      <c r="J84" s="6" t="n"/>
      <c r="K84" s="6" t="n"/>
      <c r="L84" s="6" t="n"/>
      <c r="M84" s="6" t="n"/>
      <c r="N84" s="6" t="n"/>
      <c r="O84" s="6" t="n"/>
      <c r="P84" s="6" t="n"/>
      <c r="Q84" s="6" t="n"/>
      <c r="R84" s="6" t="n"/>
      <c r="S84" s="6" t="n"/>
      <c r="T84" s="6" t="n"/>
      <c r="U84" s="6" t="n"/>
      <c r="V84" s="6" t="n"/>
      <c r="W84" s="6" t="n"/>
      <c r="X84" s="6" t="n"/>
      <c r="Y84" s="6" t="n"/>
      <c r="Z84" s="6" t="n"/>
    </row>
    <row r="85">
      <c r="A85" s="6" t="n"/>
      <c r="B85" s="6" t="n"/>
      <c r="C85" s="6" t="n"/>
      <c r="D85" s="6" t="n"/>
      <c r="E85" s="6" t="n"/>
      <c r="F85" s="6" t="n"/>
      <c r="G85" s="6" t="n"/>
      <c r="H85" s="6" t="n"/>
      <c r="I85" s="6" t="n"/>
      <c r="J85" s="6" t="n"/>
      <c r="K85" s="6" t="n"/>
      <c r="L85" s="6" t="n"/>
      <c r="M85" s="6" t="n"/>
      <c r="N85" s="6" t="n"/>
      <c r="O85" s="6" t="n"/>
      <c r="P85" s="6" t="n"/>
      <c r="Q85" s="6" t="n"/>
      <c r="R85" s="6" t="n"/>
      <c r="S85" s="6" t="n"/>
      <c r="T85" s="6" t="n"/>
      <c r="U85" s="6" t="n"/>
      <c r="V85" s="6" t="n"/>
      <c r="W85" s="6" t="n"/>
      <c r="X85" s="6" t="n"/>
      <c r="Y85" s="6" t="n"/>
      <c r="Z85" s="6" t="n"/>
    </row>
    <row r="86">
      <c r="A86" s="6" t="n"/>
      <c r="B86" s="6" t="n"/>
      <c r="C86" s="6" t="n"/>
      <c r="D86" s="6" t="n"/>
      <c r="E86" s="6" t="n"/>
      <c r="F86" s="6" t="n"/>
      <c r="G86" s="6" t="n"/>
      <c r="H86" s="6" t="n"/>
      <c r="I86" s="6" t="n"/>
      <c r="J86" s="6" t="n"/>
      <c r="K86" s="6" t="n"/>
      <c r="L86" s="6" t="n"/>
      <c r="M86" s="6" t="n"/>
      <c r="N86" s="6" t="n"/>
      <c r="O86" s="6" t="n"/>
      <c r="P86" s="6" t="n"/>
      <c r="Q86" s="6" t="n"/>
      <c r="R86" s="6" t="n"/>
      <c r="S86" s="6" t="n"/>
      <c r="T86" s="6" t="n"/>
      <c r="U86" s="6" t="n"/>
      <c r="V86" s="6" t="n"/>
      <c r="W86" s="6" t="n"/>
      <c r="X86" s="6" t="n"/>
      <c r="Y86" s="6" t="n"/>
      <c r="Z86" s="6" t="n"/>
    </row>
    <row r="87">
      <c r="A87" s="6" t="n"/>
      <c r="B87" s="6" t="n"/>
      <c r="C87" s="6" t="n"/>
      <c r="D87" s="6" t="n"/>
      <c r="E87" s="6" t="n"/>
      <c r="F87" s="6" t="n"/>
      <c r="G87" s="6" t="n"/>
      <c r="H87" s="6" t="n"/>
      <c r="I87" s="6" t="n"/>
      <c r="J87" s="6" t="n"/>
      <c r="K87" s="6" t="n"/>
      <c r="L87" s="6" t="n"/>
      <c r="M87" s="6" t="n"/>
      <c r="N87" s="6" t="n"/>
      <c r="O87" s="6" t="n"/>
      <c r="P87" s="6" t="n"/>
      <c r="Q87" s="6" t="n"/>
      <c r="R87" s="6" t="n"/>
      <c r="S87" s="6" t="n"/>
      <c r="T87" s="6" t="n"/>
      <c r="U87" s="6" t="n"/>
      <c r="V87" s="6" t="n"/>
      <c r="W87" s="6" t="n"/>
      <c r="X87" s="6" t="n"/>
      <c r="Y87" s="6" t="n"/>
      <c r="Z87" s="6" t="n"/>
    </row>
    <row r="88">
      <c r="A88" s="6" t="n"/>
      <c r="B88" s="6" t="n"/>
      <c r="C88" s="6" t="n"/>
      <c r="D88" s="6" t="n"/>
      <c r="E88" s="6" t="n"/>
      <c r="F88" s="6" t="n"/>
      <c r="G88" s="6" t="n"/>
      <c r="H88" s="6" t="n"/>
      <c r="I88" s="6" t="n"/>
      <c r="J88" s="6" t="n"/>
      <c r="K88" s="6" t="n"/>
      <c r="L88" s="6" t="n"/>
      <c r="M88" s="6" t="n"/>
      <c r="N88" s="6" t="n"/>
      <c r="O88" s="6" t="n"/>
      <c r="P88" s="6" t="n"/>
      <c r="Q88" s="6" t="n"/>
      <c r="R88" s="6" t="n"/>
      <c r="S88" s="6" t="n"/>
      <c r="T88" s="6" t="n"/>
      <c r="U88" s="6" t="n"/>
      <c r="V88" s="6" t="n"/>
      <c r="W88" s="6" t="n"/>
      <c r="X88" s="6" t="n"/>
      <c r="Y88" s="6" t="n"/>
      <c r="Z88" s="6" t="n"/>
    </row>
    <row r="89">
      <c r="A89" s="6" t="n"/>
      <c r="B89" s="6" t="n"/>
      <c r="C89" s="6" t="n"/>
      <c r="D89" s="6" t="n"/>
      <c r="E89" s="6" t="n"/>
      <c r="F89" s="6" t="n"/>
      <c r="G89" s="6" t="n"/>
      <c r="H89" s="6" t="n"/>
      <c r="I89" s="6" t="n"/>
      <c r="J89" s="6" t="n"/>
      <c r="K89" s="6" t="n"/>
      <c r="L89" s="6" t="n"/>
      <c r="M89" s="6" t="n"/>
      <c r="N89" s="6" t="n"/>
      <c r="O89" s="6" t="n"/>
      <c r="P89" s="6" t="n"/>
      <c r="Q89" s="6" t="n"/>
      <c r="R89" s="6" t="n"/>
      <c r="S89" s="6" t="n"/>
      <c r="T89" s="6" t="n"/>
      <c r="U89" s="6" t="n"/>
      <c r="V89" s="6" t="n"/>
      <c r="W89" s="6" t="n"/>
      <c r="X89" s="6" t="n"/>
      <c r="Y89" s="6" t="n"/>
      <c r="Z89" s="6" t="n"/>
    </row>
    <row r="90">
      <c r="A90" s="6" t="n"/>
      <c r="B90" s="6" t="n"/>
      <c r="C90" s="6" t="n"/>
      <c r="D90" s="6" t="n"/>
      <c r="E90" s="6" t="n"/>
      <c r="F90" s="6" t="n"/>
      <c r="G90" s="6" t="n"/>
      <c r="H90" s="6" t="n"/>
      <c r="I90" s="6" t="n"/>
      <c r="J90" s="6" t="n"/>
      <c r="K90" s="6" t="n"/>
      <c r="L90" s="6" t="n"/>
      <c r="M90" s="6" t="n"/>
      <c r="N90" s="6" t="n"/>
      <c r="O90" s="6" t="n"/>
      <c r="P90" s="6" t="n"/>
      <c r="Q90" s="6" t="n"/>
      <c r="R90" s="6" t="n"/>
      <c r="S90" s="6" t="n"/>
      <c r="T90" s="6" t="n"/>
      <c r="U90" s="6" t="n"/>
      <c r="V90" s="6" t="n"/>
      <c r="W90" s="6" t="n"/>
      <c r="X90" s="6" t="n"/>
      <c r="Y90" s="6" t="n"/>
      <c r="Z90" s="6" t="n"/>
    </row>
    <row r="91">
      <c r="A91" s="6" t="n"/>
      <c r="B91" s="6" t="n"/>
      <c r="C91" s="6" t="n"/>
      <c r="D91" s="6" t="n"/>
      <c r="E91" s="6" t="n"/>
      <c r="F91" s="6" t="n"/>
      <c r="G91" s="6" t="n"/>
      <c r="H91" s="6" t="n"/>
      <c r="I91" s="6" t="n"/>
      <c r="J91" s="6" t="n"/>
      <c r="K91" s="6" t="n"/>
      <c r="L91" s="6" t="n"/>
      <c r="M91" s="6" t="n"/>
      <c r="N91" s="6" t="n"/>
      <c r="O91" s="6" t="n"/>
      <c r="P91" s="6" t="n"/>
      <c r="Q91" s="6" t="n"/>
      <c r="R91" s="6" t="n"/>
      <c r="S91" s="6" t="n"/>
      <c r="T91" s="6" t="n"/>
      <c r="U91" s="6" t="n"/>
      <c r="V91" s="6" t="n"/>
      <c r="W91" s="6" t="n"/>
      <c r="X91" s="6" t="n"/>
      <c r="Y91" s="6" t="n"/>
      <c r="Z91" s="6" t="n"/>
    </row>
    <row r="92">
      <c r="A92" s="6" t="n"/>
      <c r="B92" s="6" t="n"/>
      <c r="C92" s="6" t="n"/>
      <c r="D92" s="6" t="n"/>
      <c r="E92" s="6" t="n"/>
      <c r="F92" s="6" t="n"/>
      <c r="G92" s="6" t="n"/>
      <c r="H92" s="6" t="n"/>
      <c r="I92" s="6" t="n"/>
      <c r="J92" s="6" t="n"/>
      <c r="K92" s="6" t="n"/>
      <c r="L92" s="6" t="n"/>
      <c r="M92" s="6" t="n"/>
      <c r="N92" s="6" t="n"/>
      <c r="O92" s="6" t="n"/>
      <c r="P92" s="6" t="n"/>
      <c r="Q92" s="6" t="n"/>
      <c r="R92" s="6" t="n"/>
      <c r="S92" s="6" t="n"/>
      <c r="T92" s="6" t="n"/>
      <c r="U92" s="6" t="n"/>
      <c r="V92" s="6" t="n"/>
      <c r="W92" s="6" t="n"/>
      <c r="X92" s="6" t="n"/>
      <c r="Y92" s="6" t="n"/>
      <c r="Z92" s="6" t="n"/>
    </row>
    <row r="93">
      <c r="A93" s="6" t="n"/>
      <c r="B93" s="6" t="n"/>
      <c r="C93" s="6" t="n"/>
      <c r="D93" s="6" t="n"/>
      <c r="E93" s="6" t="n"/>
      <c r="F93" s="6" t="n"/>
      <c r="G93" s="6" t="n"/>
      <c r="H93" s="6" t="n"/>
      <c r="I93" s="6" t="n"/>
      <c r="J93" s="6" t="n"/>
      <c r="K93" s="6" t="n"/>
      <c r="L93" s="6" t="n"/>
      <c r="M93" s="6" t="n"/>
      <c r="N93" s="6" t="n"/>
      <c r="O93" s="6" t="n"/>
      <c r="P93" s="6" t="n"/>
      <c r="Q93" s="6" t="n"/>
      <c r="R93" s="6" t="n"/>
      <c r="S93" s="6" t="n"/>
      <c r="T93" s="6" t="n"/>
      <c r="U93" s="6" t="n"/>
      <c r="V93" s="6" t="n"/>
      <c r="W93" s="6" t="n"/>
      <c r="X93" s="6" t="n"/>
      <c r="Y93" s="6" t="n"/>
      <c r="Z93" s="6" t="n"/>
    </row>
    <row r="94">
      <c r="A94" s="6" t="n"/>
      <c r="B94" s="6" t="n"/>
      <c r="C94" s="6" t="n"/>
      <c r="D94" s="6" t="n"/>
      <c r="E94" s="6" t="n"/>
      <c r="F94" s="6" t="n"/>
      <c r="G94" s="6" t="n"/>
      <c r="H94" s="6" t="n"/>
      <c r="I94" s="6" t="n"/>
      <c r="J94" s="6" t="n"/>
      <c r="K94" s="6" t="n"/>
      <c r="L94" s="6" t="n"/>
      <c r="M94" s="6" t="n"/>
      <c r="N94" s="6" t="n"/>
      <c r="O94" s="6" t="n"/>
      <c r="P94" s="6" t="n"/>
      <c r="Q94" s="6" t="n"/>
      <c r="R94" s="6" t="n"/>
      <c r="S94" s="6" t="n"/>
      <c r="T94" s="6" t="n"/>
      <c r="U94" s="6" t="n"/>
      <c r="V94" s="6" t="n"/>
      <c r="W94" s="6" t="n"/>
      <c r="X94" s="6" t="n"/>
      <c r="Y94" s="6" t="n"/>
      <c r="Z94" s="6" t="n"/>
    </row>
    <row r="95">
      <c r="A95" s="6" t="n"/>
      <c r="B95" s="6" t="n"/>
      <c r="C95" s="6" t="n"/>
      <c r="D95" s="6" t="n"/>
      <c r="E95" s="6" t="n"/>
      <c r="F95" s="6" t="n"/>
      <c r="G95" s="6" t="n"/>
      <c r="H95" s="6" t="n"/>
      <c r="I95" s="6" t="n"/>
      <c r="J95" s="6" t="n"/>
      <c r="K95" s="6" t="n"/>
      <c r="L95" s="6" t="n"/>
      <c r="M95" s="6" t="n"/>
      <c r="N95" s="6" t="n"/>
      <c r="O95" s="6" t="n"/>
      <c r="P95" s="6" t="n"/>
      <c r="Q95" s="6" t="n"/>
      <c r="R95" s="6" t="n"/>
      <c r="S95" s="6" t="n"/>
      <c r="T95" s="6" t="n"/>
      <c r="U95" s="6" t="n"/>
      <c r="V95" s="6" t="n"/>
      <c r="W95" s="6" t="n"/>
      <c r="X95" s="6" t="n"/>
      <c r="Y95" s="6" t="n"/>
      <c r="Z95" s="6" t="n"/>
    </row>
    <row r="96">
      <c r="A96" s="6" t="n"/>
      <c r="B96" s="6" t="n"/>
      <c r="C96" s="6" t="n"/>
      <c r="D96" s="6" t="n"/>
      <c r="E96" s="6" t="n"/>
      <c r="F96" s="6" t="n"/>
      <c r="G96" s="6" t="n"/>
      <c r="H96" s="6" t="n"/>
      <c r="I96" s="6" t="n"/>
      <c r="J96" s="6" t="n"/>
      <c r="K96" s="6" t="n"/>
      <c r="L96" s="6" t="n"/>
      <c r="M96" s="6" t="n"/>
      <c r="N96" s="6" t="n"/>
      <c r="O96" s="6" t="n"/>
      <c r="P96" s="6" t="n"/>
      <c r="Q96" s="6" t="n"/>
      <c r="R96" s="6" t="n"/>
      <c r="S96" s="6" t="n"/>
      <c r="T96" s="6" t="n"/>
      <c r="U96" s="6" t="n"/>
      <c r="V96" s="6" t="n"/>
      <c r="W96" s="6" t="n"/>
      <c r="X96" s="6" t="n"/>
      <c r="Y96" s="6" t="n"/>
      <c r="Z96" s="6" t="n"/>
    </row>
    <row r="97">
      <c r="A97" s="6" t="n"/>
      <c r="B97" s="6" t="n"/>
      <c r="C97" s="6" t="n"/>
      <c r="D97" s="6" t="n"/>
      <c r="E97" s="6" t="n"/>
      <c r="F97" s="6" t="n"/>
      <c r="G97" s="6" t="n"/>
      <c r="H97" s="6" t="n"/>
      <c r="I97" s="6" t="n"/>
      <c r="J97" s="6" t="n"/>
      <c r="K97" s="6" t="n"/>
      <c r="L97" s="6" t="n"/>
      <c r="M97" s="6" t="n"/>
      <c r="N97" s="6" t="n"/>
      <c r="O97" s="6" t="n"/>
      <c r="P97" s="6" t="n"/>
      <c r="Q97" s="6" t="n"/>
      <c r="R97" s="6" t="n"/>
      <c r="S97" s="6" t="n"/>
      <c r="T97" s="6" t="n"/>
      <c r="U97" s="6" t="n"/>
      <c r="V97" s="6" t="n"/>
      <c r="W97" s="6" t="n"/>
      <c r="X97" s="6" t="n"/>
      <c r="Y97" s="6" t="n"/>
      <c r="Z97" s="6" t="n"/>
    </row>
    <row r="98">
      <c r="A98" s="6" t="n"/>
      <c r="B98" s="6" t="n"/>
      <c r="C98" s="6" t="n"/>
      <c r="D98" s="6" t="n"/>
      <c r="E98" s="6" t="n"/>
      <c r="F98" s="6" t="n"/>
      <c r="G98" s="6" t="n"/>
      <c r="H98" s="6" t="n"/>
      <c r="I98" s="6" t="n"/>
      <c r="J98" s="6" t="n"/>
      <c r="K98" s="6" t="n"/>
      <c r="L98" s="6" t="n"/>
      <c r="M98" s="6" t="n"/>
      <c r="N98" s="6" t="n"/>
      <c r="O98" s="6" t="n"/>
      <c r="P98" s="6" t="n"/>
      <c r="Q98" s="6" t="n"/>
      <c r="R98" s="6" t="n"/>
      <c r="S98" s="6" t="n"/>
      <c r="T98" s="6" t="n"/>
      <c r="U98" s="6" t="n"/>
      <c r="V98" s="6" t="n"/>
      <c r="W98" s="6" t="n"/>
      <c r="X98" s="6" t="n"/>
      <c r="Y98" s="6" t="n"/>
      <c r="Z98" s="6" t="n"/>
    </row>
    <row r="99">
      <c r="A99" s="6" t="n"/>
      <c r="B99" s="6" t="n"/>
      <c r="C99" s="6" t="n"/>
      <c r="D99" s="6" t="n"/>
      <c r="E99" s="6" t="n"/>
      <c r="F99" s="6" t="n"/>
      <c r="G99" s="6" t="n"/>
      <c r="H99" s="6" t="n"/>
      <c r="I99" s="6" t="n"/>
      <c r="J99" s="6" t="n"/>
      <c r="K99" s="6" t="n"/>
      <c r="L99" s="6" t="n"/>
      <c r="M99" s="6" t="n"/>
      <c r="N99" s="6" t="n"/>
      <c r="O99" s="6" t="n"/>
      <c r="P99" s="6" t="n"/>
      <c r="Q99" s="6" t="n"/>
      <c r="R99" s="6" t="n"/>
      <c r="S99" s="6" t="n"/>
      <c r="T99" s="6" t="n"/>
      <c r="U99" s="6" t="n"/>
      <c r="V99" s="6" t="n"/>
      <c r="W99" s="6" t="n"/>
      <c r="X99" s="6" t="n"/>
      <c r="Y99" s="6" t="n"/>
      <c r="Z99" s="6" t="n"/>
    </row>
    <row r="100">
      <c r="A100" s="6" t="n"/>
      <c r="B100" s="6" t="n"/>
      <c r="C100" s="6" t="n"/>
      <c r="D100" s="6" t="n"/>
      <c r="E100" s="6" t="n"/>
      <c r="F100" s="6" t="n"/>
      <c r="G100" s="6" t="n"/>
      <c r="H100" s="6" t="n"/>
      <c r="I100" s="6" t="n"/>
      <c r="J100" s="6" t="n"/>
      <c r="K100" s="6" t="n"/>
      <c r="L100" s="6" t="n"/>
      <c r="M100" s="6" t="n"/>
      <c r="N100" s="6" t="n"/>
      <c r="O100" s="6" t="n"/>
      <c r="P100" s="6" t="n"/>
      <c r="Q100" s="6" t="n"/>
      <c r="R100" s="6" t="n"/>
      <c r="S100" s="6" t="n"/>
      <c r="T100" s="6" t="n"/>
      <c r="U100" s="6" t="n"/>
      <c r="V100" s="6" t="n"/>
      <c r="W100" s="6" t="n"/>
      <c r="X100" s="6" t="n"/>
      <c r="Y100" s="6" t="n"/>
      <c r="Z100" s="6" t="n"/>
    </row>
    <row r="101">
      <c r="A101" s="6" t="n"/>
      <c r="B101" s="6" t="n"/>
      <c r="C101" s="6" t="n"/>
      <c r="D101" s="6" t="n"/>
      <c r="E101" s="6" t="n"/>
      <c r="F101" s="6" t="n"/>
      <c r="G101" s="6" t="n"/>
      <c r="H101" s="6" t="n"/>
      <c r="I101" s="6" t="n"/>
      <c r="J101" s="6" t="n"/>
      <c r="K101" s="6" t="n"/>
      <c r="L101" s="6" t="n"/>
      <c r="M101" s="6" t="n"/>
      <c r="N101" s="6" t="n"/>
      <c r="O101" s="6" t="n"/>
      <c r="P101" s="6" t="n"/>
      <c r="Q101" s="6" t="n"/>
      <c r="R101" s="6" t="n"/>
      <c r="S101" s="6" t="n"/>
      <c r="T101" s="6" t="n"/>
      <c r="U101" s="6" t="n"/>
      <c r="V101" s="6" t="n"/>
      <c r="W101" s="6" t="n"/>
      <c r="X101" s="6" t="n"/>
      <c r="Y101" s="6" t="n"/>
      <c r="Z101" s="6" t="n"/>
    </row>
    <row r="102">
      <c r="A102" s="6" t="n"/>
      <c r="B102" s="6" t="n"/>
      <c r="C102" s="6" t="n"/>
      <c r="D102" s="6" t="n"/>
      <c r="E102" s="6" t="n"/>
      <c r="F102" s="6" t="n"/>
      <c r="G102" s="6" t="n"/>
      <c r="H102" s="6" t="n"/>
      <c r="I102" s="6" t="n"/>
      <c r="J102" s="6" t="n"/>
      <c r="K102" s="6" t="n"/>
      <c r="L102" s="6" t="n"/>
      <c r="M102" s="6" t="n"/>
      <c r="N102" s="6" t="n"/>
      <c r="O102" s="6" t="n"/>
      <c r="P102" s="6" t="n"/>
      <c r="Q102" s="6" t="n"/>
      <c r="R102" s="6" t="n"/>
      <c r="S102" s="6" t="n"/>
      <c r="T102" s="6" t="n"/>
      <c r="U102" s="6" t="n"/>
      <c r="V102" s="6" t="n"/>
      <c r="W102" s="6" t="n"/>
      <c r="X102" s="6" t="n"/>
      <c r="Y102" s="6" t="n"/>
      <c r="Z102" s="6" t="n"/>
    </row>
    <row r="103">
      <c r="A103" s="6" t="n"/>
      <c r="B103" s="6" t="n"/>
      <c r="C103" s="6" t="n"/>
      <c r="D103" s="6" t="n"/>
      <c r="E103" s="6" t="n"/>
      <c r="F103" s="6" t="n"/>
      <c r="G103" s="6" t="n"/>
      <c r="H103" s="6" t="n"/>
      <c r="I103" s="6" t="n"/>
      <c r="J103" s="6" t="n"/>
      <c r="K103" s="6" t="n"/>
      <c r="L103" s="6" t="n"/>
      <c r="M103" s="6" t="n"/>
      <c r="N103" s="6" t="n"/>
      <c r="O103" s="6" t="n"/>
      <c r="P103" s="6" t="n"/>
      <c r="Q103" s="6" t="n"/>
      <c r="R103" s="6" t="n"/>
      <c r="S103" s="6" t="n"/>
      <c r="T103" s="6" t="n"/>
      <c r="U103" s="6" t="n"/>
      <c r="V103" s="6" t="n"/>
      <c r="W103" s="6" t="n"/>
      <c r="X103" s="6" t="n"/>
      <c r="Y103" s="6" t="n"/>
      <c r="Z103" s="6" t="n"/>
    </row>
    <row r="104">
      <c r="A104" s="6" t="n"/>
      <c r="B104" s="6" t="n"/>
      <c r="C104" s="6" t="n"/>
      <c r="D104" s="6" t="n"/>
      <c r="E104" s="6" t="n"/>
      <c r="F104" s="6" t="n"/>
      <c r="G104" s="6" t="n"/>
      <c r="H104" s="6" t="n"/>
      <c r="I104" s="6" t="n"/>
      <c r="J104" s="6" t="n"/>
      <c r="K104" s="6" t="n"/>
      <c r="L104" s="6" t="n"/>
      <c r="M104" s="6" t="n"/>
      <c r="N104" s="6" t="n"/>
      <c r="O104" s="6" t="n"/>
      <c r="P104" s="6" t="n"/>
      <c r="Q104" s="6" t="n"/>
      <c r="R104" s="6" t="n"/>
      <c r="S104" s="6" t="n"/>
      <c r="T104" s="6" t="n"/>
      <c r="U104" s="6" t="n"/>
      <c r="V104" s="6" t="n"/>
      <c r="W104" s="6" t="n"/>
      <c r="X104" s="6" t="n"/>
      <c r="Y104" s="6" t="n"/>
      <c r="Z104" s="6" t="n"/>
    </row>
    <row r="105">
      <c r="A105" s="6" t="n"/>
      <c r="B105" s="6" t="n"/>
      <c r="C105" s="6" t="n"/>
      <c r="D105" s="6" t="n"/>
      <c r="E105" s="6" t="n"/>
      <c r="F105" s="6" t="n"/>
      <c r="G105" s="6" t="n"/>
      <c r="H105" s="6" t="n"/>
      <c r="I105" s="6" t="n"/>
      <c r="J105" s="6" t="n"/>
      <c r="K105" s="6" t="n"/>
      <c r="L105" s="6" t="n"/>
      <c r="M105" s="6" t="n"/>
      <c r="N105" s="6" t="n"/>
      <c r="O105" s="6" t="n"/>
      <c r="P105" s="6" t="n"/>
      <c r="Q105" s="6" t="n"/>
      <c r="R105" s="6" t="n"/>
      <c r="S105" s="6" t="n"/>
      <c r="T105" s="6" t="n"/>
      <c r="U105" s="6" t="n"/>
      <c r="V105" s="6" t="n"/>
      <c r="W105" s="6" t="n"/>
      <c r="X105" s="6" t="n"/>
      <c r="Y105" s="6" t="n"/>
      <c r="Z105" s="6" t="n"/>
    </row>
    <row r="106">
      <c r="A106" s="6" t="n"/>
      <c r="B106" s="6" t="n"/>
      <c r="C106" s="6" t="n"/>
      <c r="D106" s="6" t="n"/>
      <c r="E106" s="6" t="n"/>
      <c r="F106" s="6" t="n"/>
      <c r="G106" s="6" t="n"/>
      <c r="H106" s="6" t="n"/>
      <c r="I106" s="6" t="n"/>
      <c r="J106" s="6" t="n"/>
      <c r="K106" s="6" t="n"/>
      <c r="L106" s="6" t="n"/>
      <c r="M106" s="6" t="n"/>
      <c r="N106" s="6" t="n"/>
      <c r="O106" s="6" t="n"/>
      <c r="P106" s="6" t="n"/>
      <c r="Q106" s="6" t="n"/>
      <c r="R106" s="6" t="n"/>
      <c r="S106" s="6" t="n"/>
      <c r="T106" s="6" t="n"/>
      <c r="U106" s="6" t="n"/>
      <c r="V106" s="6" t="n"/>
      <c r="W106" s="6" t="n"/>
      <c r="X106" s="6" t="n"/>
      <c r="Y106" s="6" t="n"/>
      <c r="Z106" s="6" t="n"/>
    </row>
    <row r="107">
      <c r="A107" s="6" t="n"/>
      <c r="B107" s="6" t="n"/>
      <c r="C107" s="6" t="n"/>
      <c r="D107" s="6" t="n"/>
      <c r="E107" s="6" t="n"/>
      <c r="F107" s="6" t="n"/>
      <c r="G107" s="6" t="n"/>
      <c r="H107" s="6" t="n"/>
      <c r="I107" s="6" t="n"/>
      <c r="J107" s="6" t="n"/>
      <c r="K107" s="6" t="n"/>
      <c r="L107" s="6" t="n"/>
      <c r="M107" s="6" t="n"/>
      <c r="N107" s="6" t="n"/>
      <c r="O107" s="6" t="n"/>
      <c r="P107" s="6" t="n"/>
      <c r="Q107" s="6" t="n"/>
      <c r="R107" s="6" t="n"/>
      <c r="S107" s="6" t="n"/>
      <c r="T107" s="6" t="n"/>
      <c r="U107" s="6" t="n"/>
      <c r="V107" s="6" t="n"/>
      <c r="W107" s="6" t="n"/>
      <c r="X107" s="6" t="n"/>
      <c r="Y107" s="6" t="n"/>
      <c r="Z107" s="6" t="n"/>
    </row>
    <row r="108">
      <c r="A108" s="6" t="n"/>
      <c r="B108" s="6" t="n"/>
      <c r="C108" s="6" t="n"/>
      <c r="D108" s="6" t="n"/>
      <c r="E108" s="6" t="n"/>
      <c r="F108" s="6" t="n"/>
      <c r="G108" s="6" t="n"/>
      <c r="H108" s="6" t="n"/>
      <c r="I108" s="6" t="n"/>
      <c r="J108" s="6" t="n"/>
      <c r="K108" s="6" t="n"/>
      <c r="L108" s="6" t="n"/>
      <c r="M108" s="6" t="n"/>
      <c r="N108" s="6" t="n"/>
      <c r="O108" s="6" t="n"/>
      <c r="P108" s="6" t="n"/>
      <c r="Q108" s="6" t="n"/>
      <c r="R108" s="6" t="n"/>
      <c r="S108" s="6" t="n"/>
      <c r="T108" s="6" t="n"/>
      <c r="U108" s="6" t="n"/>
      <c r="V108" s="6" t="n"/>
      <c r="W108" s="6" t="n"/>
      <c r="X108" s="6" t="n"/>
      <c r="Y108" s="6" t="n"/>
      <c r="Z108" s="6" t="n"/>
    </row>
    <row r="109">
      <c r="A109" s="6" t="n"/>
      <c r="B109" s="6" t="n"/>
      <c r="C109" s="6" t="n"/>
      <c r="D109" s="6" t="n"/>
      <c r="E109" s="6" t="n"/>
      <c r="F109" s="6" t="n"/>
      <c r="G109" s="6" t="n"/>
      <c r="H109" s="6" t="n"/>
      <c r="I109" s="6" t="n"/>
      <c r="J109" s="6" t="n"/>
      <c r="K109" s="6" t="n"/>
      <c r="L109" s="6" t="n"/>
      <c r="M109" s="6" t="n"/>
      <c r="N109" s="6" t="n"/>
      <c r="O109" s="6" t="n"/>
      <c r="P109" s="6" t="n"/>
      <c r="Q109" s="6" t="n"/>
      <c r="R109" s="6" t="n"/>
      <c r="S109" s="6" t="n"/>
      <c r="T109" s="6" t="n"/>
      <c r="U109" s="6" t="n"/>
      <c r="V109" s="6" t="n"/>
      <c r="W109" s="6" t="n"/>
      <c r="X109" s="6" t="n"/>
      <c r="Y109" s="6" t="n"/>
      <c r="Z109" s="6" t="n"/>
    </row>
    <row r="110">
      <c r="A110" s="6" t="n"/>
      <c r="B110" s="6" t="n"/>
      <c r="C110" s="6" t="n"/>
      <c r="D110" s="6" t="n"/>
      <c r="E110" s="6" t="n"/>
      <c r="F110" s="6" t="n"/>
      <c r="G110" s="6" t="n"/>
      <c r="H110" s="6" t="n"/>
      <c r="I110" s="6" t="n"/>
      <c r="J110" s="6" t="n"/>
      <c r="K110" s="6" t="n"/>
      <c r="L110" s="6" t="n"/>
      <c r="M110" s="6" t="n"/>
      <c r="N110" s="6" t="n"/>
      <c r="O110" s="6" t="n"/>
      <c r="P110" s="6" t="n"/>
      <c r="Q110" s="6" t="n"/>
      <c r="R110" s="6" t="n"/>
      <c r="S110" s="6" t="n"/>
      <c r="T110" s="6" t="n"/>
      <c r="U110" s="6" t="n"/>
      <c r="V110" s="6" t="n"/>
      <c r="W110" s="6" t="n"/>
      <c r="X110" s="6" t="n"/>
      <c r="Y110" s="6" t="n"/>
      <c r="Z110" s="6" t="n"/>
    </row>
    <row r="111">
      <c r="A111" s="6" t="n"/>
      <c r="B111" s="6" t="n"/>
      <c r="C111" s="6" t="n"/>
      <c r="D111" s="6" t="n"/>
      <c r="E111" s="6" t="n"/>
      <c r="F111" s="6" t="n"/>
      <c r="G111" s="6" t="n"/>
      <c r="H111" s="6" t="n"/>
      <c r="I111" s="6" t="n"/>
      <c r="J111" s="6" t="n"/>
      <c r="K111" s="6" t="n"/>
      <c r="L111" s="6" t="n"/>
      <c r="M111" s="6" t="n"/>
      <c r="N111" s="6" t="n"/>
      <c r="O111" s="6" t="n"/>
      <c r="P111" s="6" t="n"/>
      <c r="Q111" s="6" t="n"/>
      <c r="R111" s="6" t="n"/>
      <c r="S111" s="6" t="n"/>
      <c r="T111" s="6" t="n"/>
      <c r="U111" s="6" t="n"/>
      <c r="V111" s="6" t="n"/>
      <c r="W111" s="6" t="n"/>
      <c r="X111" s="6" t="n"/>
      <c r="Y111" s="6" t="n"/>
      <c r="Z111" s="6" t="n"/>
    </row>
    <row r="112">
      <c r="A112" s="6" t="n"/>
      <c r="B112" s="6" t="n"/>
      <c r="C112" s="6" t="n"/>
      <c r="D112" s="6" t="n"/>
      <c r="E112" s="6" t="n"/>
      <c r="F112" s="6" t="n"/>
      <c r="G112" s="6" t="n"/>
      <c r="H112" s="6" t="n"/>
      <c r="I112" s="6" t="n"/>
      <c r="J112" s="6" t="n"/>
      <c r="K112" s="6" t="n"/>
      <c r="L112" s="6" t="n"/>
      <c r="M112" s="6" t="n"/>
      <c r="N112" s="6" t="n"/>
      <c r="O112" s="6" t="n"/>
      <c r="P112" s="6" t="n"/>
      <c r="Q112" s="6" t="n"/>
      <c r="R112" s="6" t="n"/>
      <c r="S112" s="6" t="n"/>
      <c r="T112" s="6" t="n"/>
      <c r="U112" s="6" t="n"/>
      <c r="V112" s="6" t="n"/>
      <c r="W112" s="6" t="n"/>
      <c r="X112" s="6" t="n"/>
      <c r="Y112" s="6" t="n"/>
      <c r="Z112" s="6" t="n"/>
    </row>
    <row r="113">
      <c r="A113" s="6" t="n"/>
      <c r="B113" s="6" t="n"/>
      <c r="C113" s="6" t="n"/>
      <c r="D113" s="6" t="n"/>
      <c r="E113" s="6" t="n"/>
      <c r="F113" s="6" t="n"/>
      <c r="G113" s="6" t="n"/>
      <c r="H113" s="6" t="n"/>
      <c r="I113" s="6" t="n"/>
      <c r="J113" s="6" t="n"/>
      <c r="K113" s="6" t="n"/>
      <c r="L113" s="6" t="n"/>
      <c r="M113" s="6" t="n"/>
      <c r="N113" s="6" t="n"/>
      <c r="O113" s="6" t="n"/>
      <c r="P113" s="6" t="n"/>
      <c r="Q113" s="6" t="n"/>
      <c r="R113" s="6" t="n"/>
      <c r="S113" s="6" t="n"/>
      <c r="T113" s="6" t="n"/>
      <c r="U113" s="6" t="n"/>
      <c r="V113" s="6" t="n"/>
      <c r="W113" s="6" t="n"/>
      <c r="X113" s="6" t="n"/>
      <c r="Y113" s="6" t="n"/>
      <c r="Z113" s="6" t="n"/>
    </row>
    <row r="114">
      <c r="A114" s="6" t="n"/>
      <c r="B114" s="6" t="n"/>
      <c r="C114" s="6" t="n"/>
      <c r="D114" s="6" t="n"/>
      <c r="E114" s="6" t="n"/>
      <c r="F114" s="6" t="n"/>
      <c r="G114" s="6" t="n"/>
      <c r="H114" s="6" t="n"/>
      <c r="I114" s="6" t="n"/>
      <c r="J114" s="6" t="n"/>
      <c r="K114" s="6" t="n"/>
      <c r="L114" s="6" t="n"/>
      <c r="M114" s="6" t="n"/>
      <c r="N114" s="6" t="n"/>
      <c r="O114" s="6" t="n"/>
      <c r="P114" s="6" t="n"/>
      <c r="Q114" s="6" t="n"/>
      <c r="R114" s="6" t="n"/>
      <c r="S114" s="6" t="n"/>
      <c r="T114" s="6" t="n"/>
      <c r="U114" s="6" t="n"/>
      <c r="V114" s="6" t="n"/>
      <c r="W114" s="6" t="n"/>
      <c r="X114" s="6" t="n"/>
      <c r="Y114" s="6" t="n"/>
      <c r="Z114" s="6" t="n"/>
    </row>
    <row r="115">
      <c r="A115" s="6" t="n"/>
      <c r="B115" s="6" t="n"/>
      <c r="C115" s="6" t="n"/>
      <c r="D115" s="6" t="n"/>
      <c r="E115" s="6" t="n"/>
      <c r="F115" s="6" t="n"/>
      <c r="G115" s="6" t="n"/>
      <c r="H115" s="6" t="n"/>
      <c r="I115" s="6" t="n"/>
      <c r="J115" s="6" t="n"/>
      <c r="K115" s="6" t="n"/>
      <c r="L115" s="6" t="n"/>
      <c r="M115" s="6" t="n"/>
      <c r="N115" s="6" t="n"/>
      <c r="O115" s="6" t="n"/>
      <c r="P115" s="6" t="n"/>
      <c r="Q115" s="6" t="n"/>
      <c r="R115" s="6" t="n"/>
      <c r="S115" s="6" t="n"/>
      <c r="T115" s="6" t="n"/>
      <c r="U115" s="6" t="n"/>
      <c r="V115" s="6" t="n"/>
      <c r="W115" s="6" t="n"/>
      <c r="X115" s="6" t="n"/>
      <c r="Y115" s="6" t="n"/>
      <c r="Z115" s="6" t="n"/>
    </row>
    <row r="116">
      <c r="A116" s="6" t="n"/>
      <c r="B116" s="6" t="n"/>
      <c r="C116" s="6" t="n"/>
      <c r="D116" s="6" t="n"/>
      <c r="E116" s="6" t="n"/>
      <c r="F116" s="6" t="n"/>
      <c r="G116" s="6" t="n"/>
      <c r="H116" s="6" t="n"/>
      <c r="I116" s="6" t="n"/>
      <c r="J116" s="6" t="n"/>
      <c r="K116" s="6" t="n"/>
      <c r="L116" s="6" t="n"/>
      <c r="M116" s="6" t="n"/>
      <c r="N116" s="6" t="n"/>
      <c r="O116" s="6" t="n"/>
      <c r="P116" s="6" t="n"/>
      <c r="Q116" s="6" t="n"/>
      <c r="R116" s="6" t="n"/>
      <c r="S116" s="6" t="n"/>
      <c r="T116" s="6" t="n"/>
      <c r="U116" s="6" t="n"/>
      <c r="V116" s="6" t="n"/>
      <c r="W116" s="6" t="n"/>
      <c r="X116" s="6" t="n"/>
      <c r="Y116" s="6" t="n"/>
      <c r="Z116" s="6" t="n"/>
    </row>
    <row r="117">
      <c r="A117" s="6" t="n"/>
      <c r="B117" s="6" t="n"/>
      <c r="C117" s="6" t="n"/>
      <c r="D117" s="6" t="n"/>
      <c r="E117" s="6" t="n"/>
      <c r="F117" s="6" t="n"/>
      <c r="G117" s="6" t="n"/>
      <c r="H117" s="6" t="n"/>
      <c r="I117" s="6" t="n"/>
      <c r="J117" s="6" t="n"/>
      <c r="K117" s="6" t="n"/>
      <c r="L117" s="6" t="n"/>
      <c r="M117" s="6" t="n"/>
      <c r="N117" s="6" t="n"/>
      <c r="O117" s="6" t="n"/>
      <c r="P117" s="6" t="n"/>
      <c r="Q117" s="6" t="n"/>
      <c r="R117" s="6" t="n"/>
      <c r="S117" s="6" t="n"/>
      <c r="T117" s="6" t="n"/>
      <c r="U117" s="6" t="n"/>
      <c r="V117" s="6" t="n"/>
      <c r="W117" s="6" t="n"/>
      <c r="X117" s="6" t="n"/>
      <c r="Y117" s="6" t="n"/>
      <c r="Z117" s="6" t="n"/>
    </row>
    <row r="118">
      <c r="A118" s="6" t="n"/>
      <c r="B118" s="6" t="n"/>
      <c r="C118" s="6" t="n"/>
      <c r="D118" s="6" t="n"/>
      <c r="E118" s="6" t="n"/>
      <c r="F118" s="6" t="n"/>
      <c r="G118" s="6" t="n"/>
      <c r="H118" s="6" t="n"/>
      <c r="I118" s="6" t="n"/>
      <c r="J118" s="6" t="n"/>
      <c r="K118" s="6" t="n"/>
      <c r="L118" s="6" t="n"/>
      <c r="M118" s="6" t="n"/>
      <c r="N118" s="6" t="n"/>
      <c r="O118" s="6" t="n"/>
      <c r="P118" s="6" t="n"/>
      <c r="Q118" s="6" t="n"/>
      <c r="R118" s="6" t="n"/>
      <c r="S118" s="6" t="n"/>
      <c r="T118" s="6" t="n"/>
      <c r="U118" s="6" t="n"/>
      <c r="V118" s="6" t="n"/>
      <c r="W118" s="6" t="n"/>
      <c r="X118" s="6" t="n"/>
      <c r="Y118" s="6" t="n"/>
      <c r="Z118" s="6" t="n"/>
    </row>
    <row r="119">
      <c r="A119" s="6" t="n"/>
      <c r="B119" s="6" t="n"/>
      <c r="C119" s="6" t="n"/>
      <c r="D119" s="6" t="n"/>
      <c r="E119" s="6" t="n"/>
      <c r="F119" s="6" t="n"/>
      <c r="G119" s="6" t="n"/>
      <c r="H119" s="6" t="n"/>
      <c r="I119" s="6" t="n"/>
      <c r="J119" s="6" t="n"/>
      <c r="K119" s="6" t="n"/>
      <c r="L119" s="6" t="n"/>
      <c r="M119" s="6" t="n"/>
      <c r="N119" s="6" t="n"/>
      <c r="O119" s="6" t="n"/>
      <c r="P119" s="6" t="n"/>
      <c r="Q119" s="6" t="n"/>
      <c r="R119" s="6" t="n"/>
      <c r="S119" s="6" t="n"/>
      <c r="T119" s="6" t="n"/>
      <c r="U119" s="6" t="n"/>
      <c r="V119" s="6" t="n"/>
      <c r="W119" s="6" t="n"/>
      <c r="X119" s="6" t="n"/>
      <c r="Y119" s="6" t="n"/>
      <c r="Z119" s="6" t="n"/>
    </row>
    <row r="120">
      <c r="A120" s="6" t="n"/>
      <c r="B120" s="6" t="n"/>
      <c r="C120" s="6" t="n"/>
      <c r="D120" s="6" t="n"/>
      <c r="E120" s="6" t="n"/>
      <c r="F120" s="6" t="n"/>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row>
    <row r="121">
      <c r="A121" s="6" t="n"/>
      <c r="B121" s="6" t="n"/>
      <c r="C121" s="6" t="n"/>
      <c r="D121" s="6" t="n"/>
      <c r="E121" s="6" t="n"/>
      <c r="F121" s="6" t="n"/>
      <c r="G121" s="6" t="n"/>
      <c r="H121" s="6" t="n"/>
      <c r="I121" s="6" t="n"/>
      <c r="J121" s="6" t="n"/>
      <c r="K121" s="6" t="n"/>
      <c r="L121" s="6" t="n"/>
      <c r="M121" s="6" t="n"/>
      <c r="N121" s="6" t="n"/>
      <c r="O121" s="6" t="n"/>
      <c r="P121" s="6" t="n"/>
      <c r="Q121" s="6" t="n"/>
      <c r="R121" s="6" t="n"/>
      <c r="S121" s="6" t="n"/>
      <c r="T121" s="6" t="n"/>
      <c r="U121" s="6" t="n"/>
      <c r="V121" s="6" t="n"/>
      <c r="W121" s="6" t="n"/>
      <c r="X121" s="6" t="n"/>
      <c r="Y121" s="6" t="n"/>
      <c r="Z121" s="6" t="n"/>
    </row>
    <row r="122">
      <c r="A122" s="6" t="n"/>
      <c r="B122" s="6" t="n"/>
      <c r="C122" s="6" t="n"/>
      <c r="D122" s="6" t="n"/>
      <c r="E122" s="6" t="n"/>
      <c r="F122" s="6" t="n"/>
      <c r="G122" s="6" t="n"/>
      <c r="H122" s="6" t="n"/>
      <c r="I122" s="6" t="n"/>
      <c r="J122" s="6" t="n"/>
      <c r="K122" s="6" t="n"/>
      <c r="L122" s="6" t="n"/>
      <c r="M122" s="6" t="n"/>
      <c r="N122" s="6" t="n"/>
      <c r="O122" s="6" t="n"/>
      <c r="P122" s="6" t="n"/>
      <c r="Q122" s="6" t="n"/>
      <c r="R122" s="6" t="n"/>
      <c r="S122" s="6" t="n"/>
      <c r="T122" s="6" t="n"/>
      <c r="U122" s="6" t="n"/>
      <c r="V122" s="6" t="n"/>
      <c r="W122" s="6" t="n"/>
      <c r="X122" s="6" t="n"/>
      <c r="Y122" s="6" t="n"/>
      <c r="Z122" s="6" t="n"/>
    </row>
    <row r="123">
      <c r="A123" s="6" t="n"/>
      <c r="B123" s="6" t="n"/>
      <c r="C123" s="6" t="n"/>
      <c r="D123" s="6" t="n"/>
      <c r="E123" s="6" t="n"/>
      <c r="F123" s="6" t="n"/>
      <c r="G123" s="6" t="n"/>
      <c r="H123" s="6" t="n"/>
      <c r="I123" s="6" t="n"/>
      <c r="J123" s="6" t="n"/>
      <c r="K123" s="6" t="n"/>
      <c r="L123" s="6" t="n"/>
      <c r="M123" s="6" t="n"/>
      <c r="N123" s="6" t="n"/>
      <c r="O123" s="6" t="n"/>
      <c r="P123" s="6" t="n"/>
      <c r="Q123" s="6" t="n"/>
      <c r="R123" s="6" t="n"/>
      <c r="S123" s="6" t="n"/>
      <c r="T123" s="6" t="n"/>
      <c r="U123" s="6" t="n"/>
      <c r="V123" s="6" t="n"/>
      <c r="W123" s="6" t="n"/>
      <c r="X123" s="6" t="n"/>
      <c r="Y123" s="6" t="n"/>
      <c r="Z123" s="6" t="n"/>
    </row>
    <row r="124">
      <c r="A124" s="6" t="n"/>
      <c r="B124" s="6" t="n"/>
      <c r="C124" s="6" t="n"/>
      <c r="D124" s="6" t="n"/>
      <c r="E124" s="6" t="n"/>
      <c r="F124" s="6" t="n"/>
      <c r="G124" s="6" t="n"/>
      <c r="H124" s="6" t="n"/>
      <c r="I124" s="6" t="n"/>
      <c r="J124" s="6" t="n"/>
      <c r="K124" s="6" t="n"/>
      <c r="L124" s="6" t="n"/>
      <c r="M124" s="6" t="n"/>
      <c r="N124" s="6" t="n"/>
      <c r="O124" s="6" t="n"/>
      <c r="P124" s="6" t="n"/>
      <c r="Q124" s="6" t="n"/>
      <c r="R124" s="6" t="n"/>
      <c r="S124" s="6" t="n"/>
      <c r="T124" s="6" t="n"/>
      <c r="U124" s="6" t="n"/>
      <c r="V124" s="6" t="n"/>
      <c r="W124" s="6" t="n"/>
      <c r="X124" s="6" t="n"/>
      <c r="Y124" s="6" t="n"/>
      <c r="Z124" s="6" t="n"/>
    </row>
    <row r="125">
      <c r="A125" s="6" t="n"/>
      <c r="B125" s="6" t="n"/>
      <c r="C125" s="6" t="n"/>
      <c r="D125" s="6" t="n"/>
      <c r="E125" s="6" t="n"/>
      <c r="F125" s="6" t="n"/>
      <c r="G125" s="6" t="n"/>
      <c r="H125" s="6" t="n"/>
      <c r="I125" s="6" t="n"/>
      <c r="J125" s="6" t="n"/>
      <c r="K125" s="6" t="n"/>
      <c r="L125" s="6" t="n"/>
      <c r="M125" s="6" t="n"/>
      <c r="N125" s="6" t="n"/>
      <c r="O125" s="6" t="n"/>
      <c r="P125" s="6" t="n"/>
      <c r="Q125" s="6" t="n"/>
      <c r="R125" s="6" t="n"/>
      <c r="S125" s="6" t="n"/>
      <c r="T125" s="6" t="n"/>
      <c r="U125" s="6" t="n"/>
      <c r="V125" s="6" t="n"/>
      <c r="W125" s="6" t="n"/>
      <c r="X125" s="6" t="n"/>
      <c r="Y125" s="6" t="n"/>
      <c r="Z125" s="6" t="n"/>
    </row>
    <row r="126">
      <c r="A126" s="6" t="n"/>
      <c r="B126" s="6" t="n"/>
      <c r="C126" s="6" t="n"/>
      <c r="D126" s="6" t="n"/>
      <c r="E126" s="6" t="n"/>
      <c r="F126" s="6" t="n"/>
      <c r="G126" s="6" t="n"/>
      <c r="H126" s="6" t="n"/>
      <c r="I126" s="6" t="n"/>
      <c r="J126" s="6" t="n"/>
      <c r="K126" s="6" t="n"/>
      <c r="L126" s="6" t="n"/>
      <c r="M126" s="6" t="n"/>
      <c r="N126" s="6" t="n"/>
      <c r="O126" s="6" t="n"/>
      <c r="P126" s="6" t="n"/>
      <c r="Q126" s="6" t="n"/>
      <c r="R126" s="6" t="n"/>
      <c r="S126" s="6" t="n"/>
      <c r="T126" s="6" t="n"/>
      <c r="U126" s="6" t="n"/>
      <c r="V126" s="6" t="n"/>
      <c r="W126" s="6" t="n"/>
      <c r="X126" s="6" t="n"/>
      <c r="Y126" s="6" t="n"/>
      <c r="Z126" s="6" t="n"/>
    </row>
    <row r="127">
      <c r="A127" s="6" t="n"/>
      <c r="B127" s="6" t="n"/>
      <c r="C127" s="6" t="n"/>
      <c r="D127" s="6" t="n"/>
      <c r="E127" s="6" t="n"/>
      <c r="F127" s="6" t="n"/>
      <c r="G127" s="6" t="n"/>
      <c r="H127" s="6" t="n"/>
      <c r="I127" s="6" t="n"/>
      <c r="J127" s="6" t="n"/>
      <c r="K127" s="6" t="n"/>
      <c r="L127" s="6" t="n"/>
      <c r="M127" s="6" t="n"/>
      <c r="N127" s="6" t="n"/>
      <c r="O127" s="6" t="n"/>
      <c r="P127" s="6" t="n"/>
      <c r="Q127" s="6" t="n"/>
      <c r="R127" s="6" t="n"/>
      <c r="S127" s="6" t="n"/>
      <c r="T127" s="6" t="n"/>
      <c r="U127" s="6" t="n"/>
      <c r="V127" s="6" t="n"/>
      <c r="W127" s="6" t="n"/>
      <c r="X127" s="6" t="n"/>
      <c r="Y127" s="6" t="n"/>
      <c r="Z127" s="6" t="n"/>
    </row>
    <row r="128">
      <c r="A128" s="6" t="n"/>
      <c r="B128" s="6" t="n"/>
      <c r="C128" s="6" t="n"/>
      <c r="D128" s="6" t="n"/>
      <c r="E128" s="6" t="n"/>
      <c r="F128" s="6" t="n"/>
      <c r="G128" s="6" t="n"/>
      <c r="H128" s="6" t="n"/>
      <c r="I128" s="6" t="n"/>
      <c r="J128" s="6" t="n"/>
      <c r="K128" s="6" t="n"/>
      <c r="L128" s="6" t="n"/>
      <c r="M128" s="6" t="n"/>
      <c r="N128" s="6" t="n"/>
      <c r="O128" s="6" t="n"/>
      <c r="P128" s="6" t="n"/>
      <c r="Q128" s="6" t="n"/>
      <c r="R128" s="6" t="n"/>
      <c r="S128" s="6" t="n"/>
      <c r="T128" s="6" t="n"/>
      <c r="U128" s="6" t="n"/>
      <c r="V128" s="6" t="n"/>
      <c r="W128" s="6" t="n"/>
      <c r="X128" s="6" t="n"/>
      <c r="Y128" s="6" t="n"/>
      <c r="Z128" s="6" t="n"/>
    </row>
    <row r="129">
      <c r="A129" s="6" t="n"/>
      <c r="B129" s="6" t="n"/>
      <c r="C129" s="6" t="n"/>
      <c r="D129" s="6" t="n"/>
      <c r="E129" s="6" t="n"/>
      <c r="F129" s="6" t="n"/>
      <c r="G129" s="6" t="n"/>
      <c r="H129" s="6" t="n"/>
      <c r="I129" s="6" t="n"/>
      <c r="J129" s="6" t="n"/>
      <c r="K129" s="6" t="n"/>
      <c r="L129" s="6" t="n"/>
      <c r="M129" s="6" t="n"/>
      <c r="N129" s="6" t="n"/>
      <c r="O129" s="6" t="n"/>
      <c r="P129" s="6" t="n"/>
      <c r="Q129" s="6" t="n"/>
      <c r="R129" s="6" t="n"/>
      <c r="S129" s="6" t="n"/>
      <c r="T129" s="6" t="n"/>
      <c r="U129" s="6" t="n"/>
      <c r="V129" s="6" t="n"/>
      <c r="W129" s="6" t="n"/>
      <c r="X129" s="6" t="n"/>
      <c r="Y129" s="6" t="n"/>
      <c r="Z129" s="6" t="n"/>
    </row>
    <row r="130">
      <c r="A130" s="6" t="n"/>
      <c r="B130" s="6" t="n"/>
      <c r="C130" s="6" t="n"/>
      <c r="D130" s="6" t="n"/>
      <c r="E130" s="6" t="n"/>
      <c r="F130" s="6" t="n"/>
      <c r="G130" s="6" t="n"/>
      <c r="H130" s="6" t="n"/>
      <c r="I130" s="6" t="n"/>
      <c r="J130" s="6" t="n"/>
      <c r="K130" s="6" t="n"/>
      <c r="L130" s="6" t="n"/>
      <c r="M130" s="6" t="n"/>
      <c r="N130" s="6" t="n"/>
      <c r="O130" s="6" t="n"/>
      <c r="P130" s="6" t="n"/>
      <c r="Q130" s="6" t="n"/>
      <c r="R130" s="6" t="n"/>
      <c r="S130" s="6" t="n"/>
      <c r="T130" s="6" t="n"/>
      <c r="U130" s="6" t="n"/>
      <c r="V130" s="6" t="n"/>
      <c r="W130" s="6" t="n"/>
      <c r="X130" s="6" t="n"/>
      <c r="Y130" s="6" t="n"/>
      <c r="Z130" s="6" t="n"/>
    </row>
    <row r="131">
      <c r="A131" s="6" t="n"/>
      <c r="B131" s="6" t="n"/>
      <c r="C131" s="6" t="n"/>
      <c r="D131" s="6" t="n"/>
      <c r="E131" s="6" t="n"/>
      <c r="F131" s="6" t="n"/>
      <c r="G131" s="6" t="n"/>
      <c r="H131" s="6" t="n"/>
      <c r="I131" s="6" t="n"/>
      <c r="J131" s="6" t="n"/>
      <c r="K131" s="6" t="n"/>
      <c r="L131" s="6" t="n"/>
      <c r="M131" s="6" t="n"/>
      <c r="N131" s="6" t="n"/>
      <c r="O131" s="6" t="n"/>
      <c r="P131" s="6" t="n"/>
      <c r="Q131" s="6" t="n"/>
      <c r="R131" s="6" t="n"/>
      <c r="S131" s="6" t="n"/>
      <c r="T131" s="6" t="n"/>
      <c r="U131" s="6" t="n"/>
      <c r="V131" s="6" t="n"/>
      <c r="W131" s="6" t="n"/>
      <c r="X131" s="6" t="n"/>
      <c r="Y131" s="6" t="n"/>
      <c r="Z131" s="6" t="n"/>
    </row>
    <row r="132">
      <c r="A132" s="6" t="n"/>
      <c r="B132" s="6" t="n"/>
      <c r="C132" s="6" t="n"/>
      <c r="D132" s="6" t="n"/>
      <c r="E132" s="6" t="n"/>
      <c r="F132" s="6" t="n"/>
      <c r="G132" s="6" t="n"/>
      <c r="H132" s="6" t="n"/>
      <c r="I132" s="6" t="n"/>
      <c r="J132" s="6" t="n"/>
      <c r="K132" s="6" t="n"/>
      <c r="L132" s="6" t="n"/>
      <c r="M132" s="6" t="n"/>
      <c r="N132" s="6" t="n"/>
      <c r="O132" s="6" t="n"/>
      <c r="P132" s="6" t="n"/>
      <c r="Q132" s="6" t="n"/>
      <c r="R132" s="6" t="n"/>
      <c r="S132" s="6" t="n"/>
      <c r="T132" s="6" t="n"/>
      <c r="U132" s="6" t="n"/>
      <c r="V132" s="6" t="n"/>
      <c r="W132" s="6" t="n"/>
      <c r="X132" s="6" t="n"/>
      <c r="Y132" s="6" t="n"/>
      <c r="Z132" s="6" t="n"/>
    </row>
    <row r="133">
      <c r="A133" s="6" t="n"/>
      <c r="B133" s="6" t="n"/>
      <c r="C133" s="6" t="n"/>
      <c r="D133" s="6" t="n"/>
      <c r="E133" s="6" t="n"/>
      <c r="F133" s="6" t="n"/>
      <c r="G133" s="6" t="n"/>
      <c r="H133" s="6" t="n"/>
      <c r="I133" s="6" t="n"/>
      <c r="J133" s="6" t="n"/>
      <c r="K133" s="6" t="n"/>
      <c r="L133" s="6" t="n"/>
      <c r="M133" s="6" t="n"/>
      <c r="N133" s="6" t="n"/>
      <c r="O133" s="6" t="n"/>
      <c r="P133" s="6" t="n"/>
      <c r="Q133" s="6" t="n"/>
      <c r="R133" s="6" t="n"/>
      <c r="S133" s="6" t="n"/>
      <c r="T133" s="6" t="n"/>
      <c r="U133" s="6" t="n"/>
      <c r="V133" s="6" t="n"/>
      <c r="W133" s="6" t="n"/>
      <c r="X133" s="6" t="n"/>
      <c r="Y133" s="6" t="n"/>
      <c r="Z133" s="6" t="n"/>
    </row>
    <row r="134">
      <c r="A134" s="6" t="n"/>
      <c r="B134" s="6" t="n"/>
      <c r="C134" s="6" t="n"/>
      <c r="D134" s="6" t="n"/>
      <c r="E134" s="6" t="n"/>
      <c r="F134" s="6" t="n"/>
      <c r="G134" s="6" t="n"/>
      <c r="H134" s="6" t="n"/>
      <c r="I134" s="6" t="n"/>
      <c r="J134" s="6" t="n"/>
      <c r="K134" s="6" t="n"/>
      <c r="L134" s="6" t="n"/>
      <c r="M134" s="6" t="n"/>
      <c r="N134" s="6" t="n"/>
      <c r="O134" s="6" t="n"/>
      <c r="P134" s="6" t="n"/>
      <c r="Q134" s="6" t="n"/>
      <c r="R134" s="6" t="n"/>
      <c r="S134" s="6" t="n"/>
      <c r="T134" s="6" t="n"/>
      <c r="U134" s="6" t="n"/>
      <c r="V134" s="6" t="n"/>
      <c r="W134" s="6" t="n"/>
      <c r="X134" s="6" t="n"/>
      <c r="Y134" s="6" t="n"/>
      <c r="Z134" s="6" t="n"/>
    </row>
    <row r="135">
      <c r="A135" s="6" t="n"/>
      <c r="B135" s="6" t="n"/>
      <c r="C135" s="6" t="n"/>
      <c r="D135" s="6" t="n"/>
      <c r="E135" s="6" t="n"/>
      <c r="F135" s="6" t="n"/>
      <c r="G135" s="6" t="n"/>
      <c r="H135" s="6" t="n"/>
      <c r="I135" s="6" t="n"/>
      <c r="J135" s="6" t="n"/>
      <c r="K135" s="6" t="n"/>
      <c r="L135" s="6" t="n"/>
      <c r="M135" s="6" t="n"/>
      <c r="N135" s="6" t="n"/>
      <c r="O135" s="6" t="n"/>
      <c r="P135" s="6" t="n"/>
      <c r="Q135" s="6" t="n"/>
      <c r="R135" s="6" t="n"/>
      <c r="S135" s="6" t="n"/>
      <c r="T135" s="6" t="n"/>
      <c r="U135" s="6" t="n"/>
      <c r="V135" s="6" t="n"/>
      <c r="W135" s="6" t="n"/>
      <c r="X135" s="6" t="n"/>
      <c r="Y135" s="6" t="n"/>
      <c r="Z135" s="6" t="n"/>
    </row>
    <row r="136">
      <c r="A136" s="6" t="n"/>
      <c r="B136" s="6" t="n"/>
      <c r="C136" s="6" t="n"/>
      <c r="D136" s="6" t="n"/>
      <c r="E136" s="6" t="n"/>
      <c r="F136" s="6" t="n"/>
      <c r="G136" s="6" t="n"/>
      <c r="H136" s="6" t="n"/>
      <c r="I136" s="6" t="n"/>
      <c r="J136" s="6" t="n"/>
      <c r="K136" s="6" t="n"/>
      <c r="L136" s="6" t="n"/>
      <c r="M136" s="6" t="n"/>
      <c r="N136" s="6" t="n"/>
      <c r="O136" s="6" t="n"/>
      <c r="P136" s="6" t="n"/>
      <c r="Q136" s="6" t="n"/>
      <c r="R136" s="6" t="n"/>
      <c r="S136" s="6" t="n"/>
      <c r="T136" s="6" t="n"/>
      <c r="U136" s="6" t="n"/>
      <c r="V136" s="6" t="n"/>
      <c r="W136" s="6" t="n"/>
      <c r="X136" s="6" t="n"/>
      <c r="Y136" s="6" t="n"/>
      <c r="Z136" s="6" t="n"/>
    </row>
    <row r="137">
      <c r="A137" s="6" t="n"/>
      <c r="B137" s="6" t="n"/>
      <c r="C137" s="6" t="n"/>
      <c r="D137" s="6" t="n"/>
      <c r="E137" s="6" t="n"/>
      <c r="F137" s="6" t="n"/>
      <c r="G137" s="6" t="n"/>
      <c r="H137" s="6" t="n"/>
      <c r="I137" s="6" t="n"/>
      <c r="J137" s="6" t="n"/>
      <c r="K137" s="6" t="n"/>
      <c r="L137" s="6" t="n"/>
      <c r="M137" s="6" t="n"/>
      <c r="N137" s="6" t="n"/>
      <c r="O137" s="6" t="n"/>
      <c r="P137" s="6" t="n"/>
      <c r="Q137" s="6" t="n"/>
      <c r="R137" s="6" t="n"/>
      <c r="S137" s="6" t="n"/>
      <c r="T137" s="6" t="n"/>
      <c r="U137" s="6" t="n"/>
      <c r="V137" s="6" t="n"/>
      <c r="W137" s="6" t="n"/>
      <c r="X137" s="6" t="n"/>
      <c r="Y137" s="6" t="n"/>
      <c r="Z137" s="6" t="n"/>
    </row>
    <row r="138">
      <c r="A138" s="6" t="n"/>
      <c r="B138" s="6" t="n"/>
      <c r="C138" s="6" t="n"/>
      <c r="D138" s="6" t="n"/>
      <c r="E138" s="6" t="n"/>
      <c r="F138" s="6" t="n"/>
      <c r="G138" s="6" t="n"/>
      <c r="H138" s="6" t="n"/>
      <c r="I138" s="6" t="n"/>
      <c r="J138" s="6" t="n"/>
      <c r="K138" s="6" t="n"/>
      <c r="L138" s="6" t="n"/>
      <c r="M138" s="6" t="n"/>
      <c r="N138" s="6" t="n"/>
      <c r="O138" s="6" t="n"/>
      <c r="P138" s="6" t="n"/>
      <c r="Q138" s="6" t="n"/>
      <c r="R138" s="6" t="n"/>
      <c r="S138" s="6" t="n"/>
      <c r="T138" s="6" t="n"/>
      <c r="U138" s="6" t="n"/>
      <c r="V138" s="6" t="n"/>
      <c r="W138" s="6" t="n"/>
      <c r="X138" s="6" t="n"/>
      <c r="Y138" s="6" t="n"/>
      <c r="Z138" s="6" t="n"/>
    </row>
    <row r="139">
      <c r="A139" s="6" t="n"/>
      <c r="B139" s="6" t="n"/>
      <c r="C139" s="6" t="n"/>
      <c r="D139" s="6" t="n"/>
      <c r="E139" s="6" t="n"/>
      <c r="F139" s="6" t="n"/>
      <c r="G139" s="6" t="n"/>
      <c r="H139" s="6" t="n"/>
      <c r="I139" s="6" t="n"/>
      <c r="J139" s="6" t="n"/>
      <c r="K139" s="6" t="n"/>
      <c r="L139" s="6" t="n"/>
      <c r="M139" s="6" t="n"/>
      <c r="N139" s="6" t="n"/>
      <c r="O139" s="6" t="n"/>
      <c r="P139" s="6" t="n"/>
      <c r="Q139" s="6" t="n"/>
      <c r="R139" s="6" t="n"/>
      <c r="S139" s="6" t="n"/>
      <c r="T139" s="6" t="n"/>
      <c r="U139" s="6" t="n"/>
      <c r="V139" s="6" t="n"/>
      <c r="W139" s="6" t="n"/>
      <c r="X139" s="6" t="n"/>
      <c r="Y139" s="6" t="n"/>
      <c r="Z139" s="6" t="n"/>
    </row>
  </sheetData>
  <mergeCells count="19">
    <mergeCell ref="B6:E6"/>
    <mergeCell ref="V7:Y7"/>
    <mergeCell ref="B5:E5"/>
    <mergeCell ref="N6:Q6"/>
    <mergeCell ref="R5:U5"/>
    <mergeCell ref="B7:E7"/>
    <mergeCell ref="J5:M5"/>
    <mergeCell ref="N7:Q7"/>
    <mergeCell ref="V5:Y5"/>
    <mergeCell ref="F6:I6"/>
    <mergeCell ref="F7:I7"/>
    <mergeCell ref="R7:U7"/>
    <mergeCell ref="J6:M6"/>
    <mergeCell ref="R6:U6"/>
    <mergeCell ref="F5:I5"/>
    <mergeCell ref="N5:Q5"/>
    <mergeCell ref="V6:Y6"/>
    <mergeCell ref="B3:Y3"/>
    <mergeCell ref="J7:M7"/>
  </mergeCells>
  <conditionalFormatting sqref="F31:F35">
    <cfRule type="dataBar" priority="1">
      <dataBar showValue="1">
        <cfvo type="num" val="0"/>
        <cfvo type="num" val="1"/>
        <color rgb="001F6FB2"/>
      </dataBar>
    </cfRule>
    <cfRule type="expression" priority="2" dxfId="0">
      <formula>AND(F31&lt;&gt;"",F31&lt;0.5)</formula>
    </cfRule>
  </conditionalFormatting>
  <pageMargins left="0.75" right="0.75" top="1" bottom="1" header="0.5" footer="0.5"/>
  <pageSetup orientation="landscape" fitToHeight="0" fitToWidth="1"/>
  <drawing xmlns:r="http://schemas.openxmlformats.org/officeDocument/2006/relationships" r:id="rId1"/>
</worksheet>
</file>

<file path=xl/worksheets/sheet2.xml><?xml version="1.0" encoding="utf-8"?>
<worksheet xmlns="http://schemas.openxmlformats.org/spreadsheetml/2006/main">
  <sheetPr>
    <tabColor rgb="002A9D8F"/>
    <outlinePr summaryBelow="1" summaryRight="1"/>
    <pageSetUpPr fitToPage="1"/>
  </sheetPr>
  <dimension ref="A1:Z139"/>
  <sheetViews>
    <sheetView showGridLines="0" tabSelected="0" zoomScale="90" workbookViewId="0">
      <selection activeCell="A1" sqref="A1"/>
    </sheetView>
  </sheetViews>
  <sheetFormatPr baseColWidth="8" defaultRowHeight="15"/>
  <cols>
    <col width="2"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hidden="1" width="11" customWidth="1" min="23" max="23"/>
    <col width="11" customWidth="1" min="24" max="24"/>
    <col width="11" customWidth="1" min="25" max="25"/>
    <col width="11" customWidth="1" min="26" max="26"/>
  </cols>
  <sheetData>
    <row r="1" ht="30" customHeight="1">
      <c r="A1" s="6" t="n"/>
      <c r="B1" s="7">
        <f>"OPS readiness – report "&amp;TEXT(DATEVALUE('Thong tin'!$A$2),"d mmm yyyy")</f>
        <v/>
      </c>
      <c r="C1" s="6" t="n"/>
      <c r="D1" s="6" t="n"/>
      <c r="E1" s="6" t="n"/>
      <c r="F1" s="6" t="n"/>
      <c r="G1" s="6" t="n"/>
      <c r="H1" s="6" t="n"/>
      <c r="I1" s="6" t="n"/>
      <c r="J1" s="6" t="n"/>
      <c r="K1" s="6" t="n"/>
      <c r="L1" s="6" t="n"/>
      <c r="M1" s="6" t="n"/>
      <c r="N1" s="6" t="n"/>
      <c r="O1" s="6" t="n"/>
      <c r="P1" s="6" t="n"/>
      <c r="Q1" s="6" t="n"/>
      <c r="R1" s="6" t="n"/>
      <c r="S1" s="6" t="n"/>
      <c r="T1" s="6" t="n"/>
      <c r="U1" s="6" t="n"/>
      <c r="V1" s="6" t="n"/>
      <c r="W1" s="6" t="n"/>
      <c r="X1" s="6" t="n"/>
      <c r="Y1" s="6" t="n"/>
      <c r="Z1" s="6" t="n"/>
    </row>
    <row r="2">
      <c r="A2" s="6" t="n"/>
      <c r="B2" s="8" t="inlineStr">
        <is>
          <t>Mandatory training, CBTA development and assessment, vendor training schedule.</t>
        </is>
      </c>
      <c r="C2" s="6" t="n"/>
      <c r="D2" s="6" t="n"/>
      <c r="E2" s="6" t="n"/>
      <c r="F2" s="6" t="n"/>
      <c r="G2" s="6" t="n"/>
      <c r="H2" s="6" t="n"/>
      <c r="I2" s="6" t="n"/>
      <c r="J2" s="6" t="n"/>
      <c r="K2" s="6" t="n"/>
      <c r="L2" s="6" t="n"/>
      <c r="M2" s="6" t="n"/>
      <c r="N2" s="6" t="n"/>
      <c r="O2" s="6" t="n"/>
      <c r="P2" s="6" t="n"/>
      <c r="Q2" s="6" t="n"/>
      <c r="R2" s="6" t="n"/>
      <c r="S2" s="6" t="n"/>
      <c r="T2" s="6" t="n"/>
      <c r="U2" s="6" t="n"/>
      <c r="V2" s="6" t="n"/>
      <c r="W2" s="6" t="n"/>
      <c r="X2" s="6" t="n"/>
      <c r="Y2" s="6" t="n"/>
      <c r="Z2" s="6" t="n"/>
    </row>
    <row r="3">
      <c r="A3" s="6" t="n"/>
      <c r="B3" s="6" t="n"/>
      <c r="C3" s="6" t="n"/>
      <c r="D3" s="6" t="n"/>
      <c r="E3" s="6" t="n"/>
      <c r="F3" s="6" t="n"/>
      <c r="G3" s="6" t="n"/>
      <c r="H3" s="6" t="n"/>
      <c r="I3" s="6" t="n"/>
      <c r="J3" s="6" t="n"/>
      <c r="K3" s="6" t="n"/>
      <c r="L3" s="6" t="n"/>
      <c r="M3" s="6" t="n"/>
      <c r="N3" s="6" t="n"/>
      <c r="O3" s="6" t="n"/>
      <c r="P3" s="6" t="n"/>
      <c r="Q3" s="6" t="n"/>
      <c r="R3" s="6" t="n"/>
      <c r="S3" s="6" t="n"/>
      <c r="T3" s="6" t="n"/>
      <c r="U3" s="6" t="n"/>
      <c r="V3" s="6" t="n"/>
      <c r="W3" s="6" t="n"/>
      <c r="X3" s="6" t="n"/>
      <c r="Y3" s="6" t="n"/>
      <c r="Z3" s="6" t="n"/>
    </row>
    <row r="4">
      <c r="A4" s="6" t="n"/>
      <c r="B4" s="22" t="inlineStr">
        <is>
          <t>Mandatory training – PQPOC offshore staff</t>
        </is>
      </c>
      <c r="C4" s="6" t="n"/>
      <c r="D4" s="6" t="n"/>
      <c r="E4" s="6" t="n"/>
      <c r="F4" s="6" t="n"/>
      <c r="G4" s="6" t="n"/>
      <c r="H4" s="6" t="n"/>
      <c r="I4" s="6" t="n"/>
      <c r="J4" s="22" t="inlineStr">
        <is>
          <t>CBTA by team: development and assessment</t>
        </is>
      </c>
      <c r="K4" s="6" t="n"/>
      <c r="L4" s="6" t="n"/>
      <c r="M4" s="6" t="n"/>
      <c r="N4" s="6" t="n"/>
      <c r="O4" s="6" t="n"/>
      <c r="P4" s="6" t="n"/>
      <c r="Q4" s="6" t="n"/>
      <c r="R4" s="6" t="n"/>
      <c r="S4" s="6" t="n"/>
      <c r="T4" s="6" t="n"/>
      <c r="U4" s="6" t="n"/>
      <c r="V4" s="6" t="n"/>
      <c r="W4" s="6" t="n"/>
      <c r="X4" s="6" t="n"/>
      <c r="Y4" s="6" t="n"/>
      <c r="Z4" s="6" t="n"/>
    </row>
    <row r="5">
      <c r="A5" s="6" t="n"/>
      <c r="B5" s="23" t="inlineStr">
        <is>
          <t>Courses completed vs required by the HSE training matrix. Red below 30%.</t>
        </is>
      </c>
      <c r="C5" s="6" t="n"/>
      <c r="D5" s="6" t="n"/>
      <c r="E5" s="6" t="n"/>
      <c r="F5" s="6" t="n"/>
      <c r="G5" s="6" t="n"/>
      <c r="H5" s="6" t="n"/>
      <c r="I5" s="6" t="n"/>
      <c r="J5" s="23" t="inlineStr">
        <is>
          <t>Modules developed and theory / OJT assessment progress.</t>
        </is>
      </c>
      <c r="K5" s="6" t="n"/>
      <c r="L5" s="6" t="n"/>
      <c r="M5" s="6" t="n"/>
      <c r="N5" s="6" t="n"/>
      <c r="O5" s="6" t="n"/>
      <c r="P5" s="6" t="n"/>
      <c r="Q5" s="6" t="n"/>
      <c r="R5" s="6" t="n"/>
      <c r="S5" s="6" t="n"/>
      <c r="T5" s="6" t="n"/>
      <c r="U5" s="6" t="n"/>
      <c r="V5" s="6" t="n"/>
      <c r="W5" s="6" t="n"/>
      <c r="X5" s="6" t="n"/>
      <c r="Y5" s="6" t="n"/>
      <c r="Z5" s="6" t="n"/>
    </row>
    <row r="6">
      <c r="A6" s="6" t="n"/>
      <c r="B6" s="24" t="inlineStr">
        <is>
          <t>Team</t>
        </is>
      </c>
      <c r="C6" s="24" t="inlineStr"/>
      <c r="D6" s="24" t="inlineStr">
        <is>
          <t>Planned</t>
        </is>
      </c>
      <c r="E6" s="24" t="inlineStr">
        <is>
          <t>Earned</t>
        </is>
      </c>
      <c r="F6" s="24" t="inlineStr">
        <is>
          <t>Balance</t>
        </is>
      </c>
      <c r="G6" s="24" t="inlineStr">
        <is>
          <t>Completed %</t>
        </is>
      </c>
      <c r="H6" s="6" t="n"/>
      <c r="I6" s="6" t="n"/>
      <c r="J6" s="24" t="inlineStr">
        <is>
          <t>Platform</t>
        </is>
      </c>
      <c r="K6" s="24" t="inlineStr">
        <is>
          <t>Team</t>
        </is>
      </c>
      <c r="L6" s="24" t="inlineStr">
        <is>
          <t>Modules</t>
        </is>
      </c>
      <c r="M6" s="24" t="inlineStr">
        <is>
          <t>Completed</t>
        </is>
      </c>
      <c r="N6" s="24" t="inlineStr">
        <is>
          <t>In dev.</t>
        </is>
      </c>
      <c r="O6" s="24" t="inlineStr">
        <is>
          <t>In review</t>
        </is>
      </c>
      <c r="P6" s="24" t="inlineStr">
        <is>
          <t>% developed</t>
        </is>
      </c>
      <c r="Q6" s="24" t="inlineStr">
        <is>
          <t>% theory</t>
        </is>
      </c>
      <c r="R6" s="24" t="inlineStr">
        <is>
          <t>OJT modules</t>
        </is>
      </c>
      <c r="S6" s="24" t="inlineStr">
        <is>
          <t>% OJT</t>
        </is>
      </c>
      <c r="T6" s="6" t="n"/>
      <c r="U6" s="6" t="n"/>
      <c r="V6" s="6" t="n"/>
      <c r="W6" s="6" t="n"/>
      <c r="X6" s="6" t="n"/>
      <c r="Y6" s="6" t="n"/>
      <c r="Z6" s="6" t="n"/>
    </row>
    <row r="7">
      <c r="A7" s="6" t="n"/>
      <c r="B7" s="25">
        <f>IF(INDEX('Dao tao bat buoc'!$A$2:$A$300,1)="","",INDEX('Dao tao bat buoc'!$A$2:$A$300,1))</f>
        <v/>
      </c>
      <c r="C7" s="25" t="inlineStr"/>
      <c r="D7" s="26">
        <f>IF(INDEX('Dao tao bat buoc'!$B$2:$B$300,1)="","",INDEX('Dao tao bat buoc'!$B$2:$B$300,1))</f>
        <v/>
      </c>
      <c r="E7" s="26">
        <f>IF(INDEX('Dao tao bat buoc'!$C$2:$C$300,1)="","",INDEX('Dao tao bat buoc'!$C$2:$C$300,1))</f>
        <v/>
      </c>
      <c r="F7" s="26">
        <f>IF(INDEX('Dao tao bat buoc'!$D$2:$D$300,1)="","",INDEX('Dao tao bat buoc'!$D$2:$D$300,1))</f>
        <v/>
      </c>
      <c r="G7" s="27">
        <f>IF(D7="","",E7/D7)</f>
        <v/>
      </c>
      <c r="H7" s="6" t="n"/>
      <c r="I7" s="6" t="n"/>
      <c r="J7" s="25">
        <f>IF(INDEX('CBTA'!$A$2:$A$300,1)="","",INDEX('CBTA'!$A$2:$A$300,1))</f>
        <v/>
      </c>
      <c r="K7" s="25">
        <f>IF(INDEX('CBTA'!$B$2:$B$300,1)="","",INDEX('CBTA'!$B$2:$B$300,1))</f>
        <v/>
      </c>
      <c r="L7" s="26">
        <f>IF(INDEX('CBTA'!$C$2:$C$300,1)="","",INDEX('CBTA'!$C$2:$C$300,1))</f>
        <v/>
      </c>
      <c r="M7" s="26">
        <f>IF(INDEX('CBTA'!$F$2:$F$300,1)="","",INDEX('CBTA'!$F$2:$F$300,1))</f>
        <v/>
      </c>
      <c r="N7" s="26">
        <f>IF(INDEX('CBTA'!$D$2:$D$300,1)="","",INDEX('CBTA'!$D$2:$D$300,1))</f>
        <v/>
      </c>
      <c r="O7" s="26">
        <f>IF(INDEX('CBTA'!$E$2:$E$300,1)="","",INDEX('CBTA'!$E$2:$E$300,1))</f>
        <v/>
      </c>
      <c r="P7" s="29">
        <f>IF(L7="","",M7/L7)</f>
        <v/>
      </c>
      <c r="Q7" s="29">
        <f>IF(J7="","",INDEX('CBTA'!$G$2:$G$300,1)/100)</f>
        <v/>
      </c>
      <c r="R7" s="26">
        <f>IF(INDEX('CBTA'!$H$2:$H$300,1)="","",INDEX('CBTA'!$H$2:$H$300,1))</f>
        <v/>
      </c>
      <c r="S7" s="29">
        <f>IF(J7="","",INDEX('CBTA'!$I$2:$I$300,1)/100)</f>
        <v/>
      </c>
      <c r="T7" s="6" t="n"/>
      <c r="U7" s="6" t="n"/>
      <c r="V7" s="6" t="n"/>
      <c r="W7" s="6">
        <f>IF(J7="","",J7&amp;" "&amp;K7)</f>
        <v/>
      </c>
      <c r="X7" s="6" t="n"/>
      <c r="Y7" s="6" t="n"/>
      <c r="Z7" s="6" t="n"/>
    </row>
    <row r="8">
      <c r="A8" s="6" t="n"/>
      <c r="B8" s="25">
        <f>IF(INDEX('Dao tao bat buoc'!$A$2:$A$300,2)="","",INDEX('Dao tao bat buoc'!$A$2:$A$300,2))</f>
        <v/>
      </c>
      <c r="C8" s="25" t="inlineStr"/>
      <c r="D8" s="26">
        <f>IF(INDEX('Dao tao bat buoc'!$B$2:$B$300,2)="","",INDEX('Dao tao bat buoc'!$B$2:$B$300,2))</f>
        <v/>
      </c>
      <c r="E8" s="26">
        <f>IF(INDEX('Dao tao bat buoc'!$C$2:$C$300,2)="","",INDEX('Dao tao bat buoc'!$C$2:$C$300,2))</f>
        <v/>
      </c>
      <c r="F8" s="26">
        <f>IF(INDEX('Dao tao bat buoc'!$D$2:$D$300,2)="","",INDEX('Dao tao bat buoc'!$D$2:$D$300,2))</f>
        <v/>
      </c>
      <c r="G8" s="27">
        <f>IF(D8="","",E8/D8)</f>
        <v/>
      </c>
      <c r="H8" s="6" t="n"/>
      <c r="I8" s="6" t="n"/>
      <c r="J8" s="25">
        <f>IF(INDEX('CBTA'!$A$2:$A$300,2)="","",INDEX('CBTA'!$A$2:$A$300,2))</f>
        <v/>
      </c>
      <c r="K8" s="25">
        <f>IF(INDEX('CBTA'!$B$2:$B$300,2)="","",INDEX('CBTA'!$B$2:$B$300,2))</f>
        <v/>
      </c>
      <c r="L8" s="26">
        <f>IF(INDEX('CBTA'!$C$2:$C$300,2)="","",INDEX('CBTA'!$C$2:$C$300,2))</f>
        <v/>
      </c>
      <c r="M8" s="26">
        <f>IF(INDEX('CBTA'!$F$2:$F$300,2)="","",INDEX('CBTA'!$F$2:$F$300,2))</f>
        <v/>
      </c>
      <c r="N8" s="26">
        <f>IF(INDEX('CBTA'!$D$2:$D$300,2)="","",INDEX('CBTA'!$D$2:$D$300,2))</f>
        <v/>
      </c>
      <c r="O8" s="26">
        <f>IF(INDEX('CBTA'!$E$2:$E$300,2)="","",INDEX('CBTA'!$E$2:$E$300,2))</f>
        <v/>
      </c>
      <c r="P8" s="29">
        <f>IF(L8="","",M8/L8)</f>
        <v/>
      </c>
      <c r="Q8" s="29">
        <f>IF(J8="","",INDEX('CBTA'!$G$2:$G$300,2)/100)</f>
        <v/>
      </c>
      <c r="R8" s="26">
        <f>IF(INDEX('CBTA'!$H$2:$H$300,2)="","",INDEX('CBTA'!$H$2:$H$300,2))</f>
        <v/>
      </c>
      <c r="S8" s="29">
        <f>IF(J8="","",INDEX('CBTA'!$I$2:$I$300,2)/100)</f>
        <v/>
      </c>
      <c r="T8" s="6" t="n"/>
      <c r="U8" s="6" t="n"/>
      <c r="V8" s="6" t="n"/>
      <c r="W8" s="6">
        <f>IF(J8="","",J8&amp;" "&amp;K8)</f>
        <v/>
      </c>
      <c r="X8" s="6" t="n"/>
      <c r="Y8" s="6" t="n"/>
      <c r="Z8" s="6" t="n"/>
    </row>
    <row r="9">
      <c r="A9" s="6" t="n"/>
      <c r="B9" s="25">
        <f>IF(INDEX('Dao tao bat buoc'!$A$2:$A$300,3)="","",INDEX('Dao tao bat buoc'!$A$2:$A$300,3))</f>
        <v/>
      </c>
      <c r="C9" s="25" t="inlineStr"/>
      <c r="D9" s="26">
        <f>IF(INDEX('Dao tao bat buoc'!$B$2:$B$300,3)="","",INDEX('Dao tao bat buoc'!$B$2:$B$300,3))</f>
        <v/>
      </c>
      <c r="E9" s="26">
        <f>IF(INDEX('Dao tao bat buoc'!$C$2:$C$300,3)="","",INDEX('Dao tao bat buoc'!$C$2:$C$300,3))</f>
        <v/>
      </c>
      <c r="F9" s="26">
        <f>IF(INDEX('Dao tao bat buoc'!$D$2:$D$300,3)="","",INDEX('Dao tao bat buoc'!$D$2:$D$300,3))</f>
        <v/>
      </c>
      <c r="G9" s="27">
        <f>IF(D9="","",E9/D9)</f>
        <v/>
      </c>
      <c r="H9" s="6" t="n"/>
      <c r="I9" s="6" t="n"/>
      <c r="J9" s="25">
        <f>IF(INDEX('CBTA'!$A$2:$A$300,3)="","",INDEX('CBTA'!$A$2:$A$300,3))</f>
        <v/>
      </c>
      <c r="K9" s="25">
        <f>IF(INDEX('CBTA'!$B$2:$B$300,3)="","",INDEX('CBTA'!$B$2:$B$300,3))</f>
        <v/>
      </c>
      <c r="L9" s="26">
        <f>IF(INDEX('CBTA'!$C$2:$C$300,3)="","",INDEX('CBTA'!$C$2:$C$300,3))</f>
        <v/>
      </c>
      <c r="M9" s="26">
        <f>IF(INDEX('CBTA'!$F$2:$F$300,3)="","",INDEX('CBTA'!$F$2:$F$300,3))</f>
        <v/>
      </c>
      <c r="N9" s="26">
        <f>IF(INDEX('CBTA'!$D$2:$D$300,3)="","",INDEX('CBTA'!$D$2:$D$300,3))</f>
        <v/>
      </c>
      <c r="O9" s="26">
        <f>IF(INDEX('CBTA'!$E$2:$E$300,3)="","",INDEX('CBTA'!$E$2:$E$300,3))</f>
        <v/>
      </c>
      <c r="P9" s="29">
        <f>IF(L9="","",M9/L9)</f>
        <v/>
      </c>
      <c r="Q9" s="29">
        <f>IF(J9="","",INDEX('CBTA'!$G$2:$G$300,3)/100)</f>
        <v/>
      </c>
      <c r="R9" s="26">
        <f>IF(INDEX('CBTA'!$H$2:$H$300,3)="","",INDEX('CBTA'!$H$2:$H$300,3))</f>
        <v/>
      </c>
      <c r="S9" s="29">
        <f>IF(J9="","",INDEX('CBTA'!$I$2:$I$300,3)/100)</f>
        <v/>
      </c>
      <c r="T9" s="6" t="n"/>
      <c r="U9" s="6" t="n"/>
      <c r="V9" s="6" t="n"/>
      <c r="W9" s="6">
        <f>IF(J9="","",J9&amp;" "&amp;K9)</f>
        <v/>
      </c>
      <c r="X9" s="6" t="n"/>
      <c r="Y9" s="6" t="n"/>
      <c r="Z9" s="6" t="n"/>
    </row>
    <row r="10">
      <c r="A10" s="6" t="n"/>
      <c r="B10" s="25">
        <f>IF(INDEX('Dao tao bat buoc'!$A$2:$A$300,4)="","",INDEX('Dao tao bat buoc'!$A$2:$A$300,4))</f>
        <v/>
      </c>
      <c r="C10" s="25" t="inlineStr"/>
      <c r="D10" s="26">
        <f>IF(INDEX('Dao tao bat buoc'!$B$2:$B$300,4)="","",INDEX('Dao tao bat buoc'!$B$2:$B$300,4))</f>
        <v/>
      </c>
      <c r="E10" s="26">
        <f>IF(INDEX('Dao tao bat buoc'!$C$2:$C$300,4)="","",INDEX('Dao tao bat buoc'!$C$2:$C$300,4))</f>
        <v/>
      </c>
      <c r="F10" s="26">
        <f>IF(INDEX('Dao tao bat buoc'!$D$2:$D$300,4)="","",INDEX('Dao tao bat buoc'!$D$2:$D$300,4))</f>
        <v/>
      </c>
      <c r="G10" s="27">
        <f>IF(D10="","",E10/D10)</f>
        <v/>
      </c>
      <c r="H10" s="6" t="n"/>
      <c r="I10" s="6" t="n"/>
      <c r="J10" s="25">
        <f>IF(INDEX('CBTA'!$A$2:$A$300,4)="","",INDEX('CBTA'!$A$2:$A$300,4))</f>
        <v/>
      </c>
      <c r="K10" s="25">
        <f>IF(INDEX('CBTA'!$B$2:$B$300,4)="","",INDEX('CBTA'!$B$2:$B$300,4))</f>
        <v/>
      </c>
      <c r="L10" s="26">
        <f>IF(INDEX('CBTA'!$C$2:$C$300,4)="","",INDEX('CBTA'!$C$2:$C$300,4))</f>
        <v/>
      </c>
      <c r="M10" s="26">
        <f>IF(INDEX('CBTA'!$F$2:$F$300,4)="","",INDEX('CBTA'!$F$2:$F$300,4))</f>
        <v/>
      </c>
      <c r="N10" s="26">
        <f>IF(INDEX('CBTA'!$D$2:$D$300,4)="","",INDEX('CBTA'!$D$2:$D$300,4))</f>
        <v/>
      </c>
      <c r="O10" s="26">
        <f>IF(INDEX('CBTA'!$E$2:$E$300,4)="","",INDEX('CBTA'!$E$2:$E$300,4))</f>
        <v/>
      </c>
      <c r="P10" s="29">
        <f>IF(L10="","",M10/L10)</f>
        <v/>
      </c>
      <c r="Q10" s="29">
        <f>IF(J10="","",INDEX('CBTA'!$G$2:$G$300,4)/100)</f>
        <v/>
      </c>
      <c r="R10" s="26">
        <f>IF(INDEX('CBTA'!$H$2:$H$300,4)="","",INDEX('CBTA'!$H$2:$H$300,4))</f>
        <v/>
      </c>
      <c r="S10" s="29">
        <f>IF(J10="","",INDEX('CBTA'!$I$2:$I$300,4)/100)</f>
        <v/>
      </c>
      <c r="T10" s="6" t="n"/>
      <c r="U10" s="6" t="n"/>
      <c r="V10" s="6" t="n"/>
      <c r="W10" s="6">
        <f>IF(J10="","",J10&amp;" "&amp;K10)</f>
        <v/>
      </c>
      <c r="X10" s="6" t="n"/>
      <c r="Y10" s="6" t="n"/>
      <c r="Z10" s="6" t="n"/>
    </row>
    <row r="11">
      <c r="A11" s="6" t="n"/>
      <c r="B11" s="25">
        <f>IF(INDEX('Dao tao bat buoc'!$A$2:$A$300,5)="","",INDEX('Dao tao bat buoc'!$A$2:$A$300,5))</f>
        <v/>
      </c>
      <c r="C11" s="25" t="inlineStr"/>
      <c r="D11" s="26">
        <f>IF(INDEX('Dao tao bat buoc'!$B$2:$B$300,5)="","",INDEX('Dao tao bat buoc'!$B$2:$B$300,5))</f>
        <v/>
      </c>
      <c r="E11" s="26">
        <f>IF(INDEX('Dao tao bat buoc'!$C$2:$C$300,5)="","",INDEX('Dao tao bat buoc'!$C$2:$C$300,5))</f>
        <v/>
      </c>
      <c r="F11" s="26">
        <f>IF(INDEX('Dao tao bat buoc'!$D$2:$D$300,5)="","",INDEX('Dao tao bat buoc'!$D$2:$D$300,5))</f>
        <v/>
      </c>
      <c r="G11" s="27">
        <f>IF(D11="","",E11/D11)</f>
        <v/>
      </c>
      <c r="H11" s="6" t="n"/>
      <c r="I11" s="6" t="n"/>
      <c r="J11" s="25">
        <f>IF(INDEX('CBTA'!$A$2:$A$300,5)="","",INDEX('CBTA'!$A$2:$A$300,5))</f>
        <v/>
      </c>
      <c r="K11" s="25">
        <f>IF(INDEX('CBTA'!$B$2:$B$300,5)="","",INDEX('CBTA'!$B$2:$B$300,5))</f>
        <v/>
      </c>
      <c r="L11" s="26">
        <f>IF(INDEX('CBTA'!$C$2:$C$300,5)="","",INDEX('CBTA'!$C$2:$C$300,5))</f>
        <v/>
      </c>
      <c r="M11" s="26">
        <f>IF(INDEX('CBTA'!$F$2:$F$300,5)="","",INDEX('CBTA'!$F$2:$F$300,5))</f>
        <v/>
      </c>
      <c r="N11" s="26">
        <f>IF(INDEX('CBTA'!$D$2:$D$300,5)="","",INDEX('CBTA'!$D$2:$D$300,5))</f>
        <v/>
      </c>
      <c r="O11" s="26">
        <f>IF(INDEX('CBTA'!$E$2:$E$300,5)="","",INDEX('CBTA'!$E$2:$E$300,5))</f>
        <v/>
      </c>
      <c r="P11" s="29">
        <f>IF(L11="","",M11/L11)</f>
        <v/>
      </c>
      <c r="Q11" s="29">
        <f>IF(J11="","",INDEX('CBTA'!$G$2:$G$300,5)/100)</f>
        <v/>
      </c>
      <c r="R11" s="26">
        <f>IF(INDEX('CBTA'!$H$2:$H$300,5)="","",INDEX('CBTA'!$H$2:$H$300,5))</f>
        <v/>
      </c>
      <c r="S11" s="29">
        <f>IF(J11="","",INDEX('CBTA'!$I$2:$I$300,5)/100)</f>
        <v/>
      </c>
      <c r="T11" s="6" t="n"/>
      <c r="U11" s="6" t="n"/>
      <c r="V11" s="6" t="n"/>
      <c r="W11" s="6">
        <f>IF(J11="","",J11&amp;" "&amp;K11)</f>
        <v/>
      </c>
      <c r="X11" s="6" t="n"/>
      <c r="Y11" s="6" t="n"/>
      <c r="Z11" s="6" t="n"/>
    </row>
    <row r="12">
      <c r="A12" s="6" t="n"/>
      <c r="B12" s="25">
        <f>IF(INDEX('Dao tao bat buoc'!$A$2:$A$300,6)="","",INDEX('Dao tao bat buoc'!$A$2:$A$300,6))</f>
        <v/>
      </c>
      <c r="C12" s="25" t="inlineStr"/>
      <c r="D12" s="26">
        <f>IF(INDEX('Dao tao bat buoc'!$B$2:$B$300,6)="","",INDEX('Dao tao bat buoc'!$B$2:$B$300,6))</f>
        <v/>
      </c>
      <c r="E12" s="26">
        <f>IF(INDEX('Dao tao bat buoc'!$C$2:$C$300,6)="","",INDEX('Dao tao bat buoc'!$C$2:$C$300,6))</f>
        <v/>
      </c>
      <c r="F12" s="26">
        <f>IF(INDEX('Dao tao bat buoc'!$D$2:$D$300,6)="","",INDEX('Dao tao bat buoc'!$D$2:$D$300,6))</f>
        <v/>
      </c>
      <c r="G12" s="27">
        <f>IF(D12="","",E12/D12)</f>
        <v/>
      </c>
      <c r="H12" s="6" t="n"/>
      <c r="I12" s="6" t="n"/>
      <c r="J12" s="25">
        <f>IF(INDEX('CBTA'!$A$2:$A$300,6)="","",INDEX('CBTA'!$A$2:$A$300,6))</f>
        <v/>
      </c>
      <c r="K12" s="25">
        <f>IF(INDEX('CBTA'!$B$2:$B$300,6)="","",INDEX('CBTA'!$B$2:$B$300,6))</f>
        <v/>
      </c>
      <c r="L12" s="26">
        <f>IF(INDEX('CBTA'!$C$2:$C$300,6)="","",INDEX('CBTA'!$C$2:$C$300,6))</f>
        <v/>
      </c>
      <c r="M12" s="26">
        <f>IF(INDEX('CBTA'!$F$2:$F$300,6)="","",INDEX('CBTA'!$F$2:$F$300,6))</f>
        <v/>
      </c>
      <c r="N12" s="26">
        <f>IF(INDEX('CBTA'!$D$2:$D$300,6)="","",INDEX('CBTA'!$D$2:$D$300,6))</f>
        <v/>
      </c>
      <c r="O12" s="26">
        <f>IF(INDEX('CBTA'!$E$2:$E$300,6)="","",INDEX('CBTA'!$E$2:$E$300,6))</f>
        <v/>
      </c>
      <c r="P12" s="29">
        <f>IF(L12="","",M12/L12)</f>
        <v/>
      </c>
      <c r="Q12" s="29">
        <f>IF(J12="","",INDEX('CBTA'!$G$2:$G$300,6)/100)</f>
        <v/>
      </c>
      <c r="R12" s="26">
        <f>IF(INDEX('CBTA'!$H$2:$H$300,6)="","",INDEX('CBTA'!$H$2:$H$300,6))</f>
        <v/>
      </c>
      <c r="S12" s="29">
        <f>IF(J12="","",INDEX('CBTA'!$I$2:$I$300,6)/100)</f>
        <v/>
      </c>
      <c r="T12" s="6" t="n"/>
      <c r="U12" s="6" t="n"/>
      <c r="V12" s="6" t="n"/>
      <c r="W12" s="6">
        <f>IF(J12="","",J12&amp;" "&amp;K12)</f>
        <v/>
      </c>
      <c r="X12" s="6" t="n"/>
      <c r="Y12" s="6" t="n"/>
      <c r="Z12" s="6" t="n"/>
    </row>
    <row r="13">
      <c r="A13" s="6" t="n"/>
      <c r="B13" s="25">
        <f>IF(INDEX('Dao tao bat buoc'!$A$2:$A$300,7)="","",INDEX('Dao tao bat buoc'!$A$2:$A$300,7))</f>
        <v/>
      </c>
      <c r="C13" s="25" t="inlineStr"/>
      <c r="D13" s="26">
        <f>IF(INDEX('Dao tao bat buoc'!$B$2:$B$300,7)="","",INDEX('Dao tao bat buoc'!$B$2:$B$300,7))</f>
        <v/>
      </c>
      <c r="E13" s="26">
        <f>IF(INDEX('Dao tao bat buoc'!$C$2:$C$300,7)="","",INDEX('Dao tao bat buoc'!$C$2:$C$300,7))</f>
        <v/>
      </c>
      <c r="F13" s="26">
        <f>IF(INDEX('Dao tao bat buoc'!$D$2:$D$300,7)="","",INDEX('Dao tao bat buoc'!$D$2:$D$300,7))</f>
        <v/>
      </c>
      <c r="G13" s="27">
        <f>IF(D13="","",E13/D13)</f>
        <v/>
      </c>
      <c r="H13" s="6" t="n"/>
      <c r="I13" s="6" t="n"/>
      <c r="J13" s="25">
        <f>IF(INDEX('CBTA'!$A$2:$A$300,7)="","",INDEX('CBTA'!$A$2:$A$300,7))</f>
        <v/>
      </c>
      <c r="K13" s="25">
        <f>IF(INDEX('CBTA'!$B$2:$B$300,7)="","",INDEX('CBTA'!$B$2:$B$300,7))</f>
        <v/>
      </c>
      <c r="L13" s="26">
        <f>IF(INDEX('CBTA'!$C$2:$C$300,7)="","",INDEX('CBTA'!$C$2:$C$300,7))</f>
        <v/>
      </c>
      <c r="M13" s="26">
        <f>IF(INDEX('CBTA'!$F$2:$F$300,7)="","",INDEX('CBTA'!$F$2:$F$300,7))</f>
        <v/>
      </c>
      <c r="N13" s="26">
        <f>IF(INDEX('CBTA'!$D$2:$D$300,7)="","",INDEX('CBTA'!$D$2:$D$300,7))</f>
        <v/>
      </c>
      <c r="O13" s="26">
        <f>IF(INDEX('CBTA'!$E$2:$E$300,7)="","",INDEX('CBTA'!$E$2:$E$300,7))</f>
        <v/>
      </c>
      <c r="P13" s="29">
        <f>IF(L13="","",M13/L13)</f>
        <v/>
      </c>
      <c r="Q13" s="29">
        <f>IF(J13="","",INDEX('CBTA'!$G$2:$G$300,7)/100)</f>
        <v/>
      </c>
      <c r="R13" s="26">
        <f>IF(INDEX('CBTA'!$H$2:$H$300,7)="","",INDEX('CBTA'!$H$2:$H$300,7))</f>
        <v/>
      </c>
      <c r="S13" s="29">
        <f>IF(J13="","",INDEX('CBTA'!$I$2:$I$300,7)/100)</f>
        <v/>
      </c>
      <c r="T13" s="6" t="n"/>
      <c r="U13" s="6" t="n"/>
      <c r="V13" s="6" t="n"/>
      <c r="W13" s="6">
        <f>IF(J13="","",J13&amp;" "&amp;K13)</f>
        <v/>
      </c>
      <c r="X13" s="6" t="n"/>
      <c r="Y13" s="6" t="n"/>
      <c r="Z13" s="6" t="n"/>
    </row>
    <row r="14">
      <c r="A14" s="6" t="n"/>
      <c r="B14" s="25">
        <f>IF(INDEX('Dao tao bat buoc'!$A$2:$A$300,8)="","",INDEX('Dao tao bat buoc'!$A$2:$A$300,8))</f>
        <v/>
      </c>
      <c r="C14" s="25" t="inlineStr"/>
      <c r="D14" s="26">
        <f>IF(INDEX('Dao tao bat buoc'!$B$2:$B$300,8)="","",INDEX('Dao tao bat buoc'!$B$2:$B$300,8))</f>
        <v/>
      </c>
      <c r="E14" s="26">
        <f>IF(INDEX('Dao tao bat buoc'!$C$2:$C$300,8)="","",INDEX('Dao tao bat buoc'!$C$2:$C$300,8))</f>
        <v/>
      </c>
      <c r="F14" s="26">
        <f>IF(INDEX('Dao tao bat buoc'!$D$2:$D$300,8)="","",INDEX('Dao tao bat buoc'!$D$2:$D$300,8))</f>
        <v/>
      </c>
      <c r="G14" s="27">
        <f>IF(D14="","",E14/D14)</f>
        <v/>
      </c>
      <c r="H14" s="6" t="n"/>
      <c r="I14" s="6" t="n"/>
      <c r="J14" s="25">
        <f>IF(INDEX('CBTA'!$A$2:$A$300,8)="","",INDEX('CBTA'!$A$2:$A$300,8))</f>
        <v/>
      </c>
      <c r="K14" s="25">
        <f>IF(INDEX('CBTA'!$B$2:$B$300,8)="","",INDEX('CBTA'!$B$2:$B$300,8))</f>
        <v/>
      </c>
      <c r="L14" s="26">
        <f>IF(INDEX('CBTA'!$C$2:$C$300,8)="","",INDEX('CBTA'!$C$2:$C$300,8))</f>
        <v/>
      </c>
      <c r="M14" s="26">
        <f>IF(INDEX('CBTA'!$F$2:$F$300,8)="","",INDEX('CBTA'!$F$2:$F$300,8))</f>
        <v/>
      </c>
      <c r="N14" s="26">
        <f>IF(INDEX('CBTA'!$D$2:$D$300,8)="","",INDEX('CBTA'!$D$2:$D$300,8))</f>
        <v/>
      </c>
      <c r="O14" s="26">
        <f>IF(INDEX('CBTA'!$E$2:$E$300,8)="","",INDEX('CBTA'!$E$2:$E$300,8))</f>
        <v/>
      </c>
      <c r="P14" s="29">
        <f>IF(L14="","",M14/L14)</f>
        <v/>
      </c>
      <c r="Q14" s="29">
        <f>IF(J14="","",INDEX('CBTA'!$G$2:$G$300,8)/100)</f>
        <v/>
      </c>
      <c r="R14" s="26">
        <f>IF(INDEX('CBTA'!$H$2:$H$300,8)="","",INDEX('CBTA'!$H$2:$H$300,8))</f>
        <v/>
      </c>
      <c r="S14" s="29">
        <f>IF(J14="","",INDEX('CBTA'!$I$2:$I$300,8)/100)</f>
        <v/>
      </c>
      <c r="T14" s="6" t="n"/>
      <c r="U14" s="6" t="n"/>
      <c r="V14" s="6" t="n"/>
      <c r="W14" s="6">
        <f>IF(J14="","",J14&amp;" "&amp;K14)</f>
        <v/>
      </c>
      <c r="X14" s="6" t="n"/>
      <c r="Y14" s="6" t="n"/>
      <c r="Z14" s="6" t="n"/>
    </row>
    <row r="15">
      <c r="A15" s="6" t="n"/>
      <c r="B15" s="25">
        <f>IF(INDEX('Dao tao bat buoc'!$A$2:$A$300,9)="","",INDEX('Dao tao bat buoc'!$A$2:$A$300,9))</f>
        <v/>
      </c>
      <c r="C15" s="25" t="inlineStr"/>
      <c r="D15" s="26">
        <f>IF(INDEX('Dao tao bat buoc'!$B$2:$B$300,9)="","",INDEX('Dao tao bat buoc'!$B$2:$B$300,9))</f>
        <v/>
      </c>
      <c r="E15" s="26">
        <f>IF(INDEX('Dao tao bat buoc'!$C$2:$C$300,9)="","",INDEX('Dao tao bat buoc'!$C$2:$C$300,9))</f>
        <v/>
      </c>
      <c r="F15" s="26">
        <f>IF(INDEX('Dao tao bat buoc'!$D$2:$D$300,9)="","",INDEX('Dao tao bat buoc'!$D$2:$D$300,9))</f>
        <v/>
      </c>
      <c r="G15" s="27">
        <f>IF(D15="","",E15/D15)</f>
        <v/>
      </c>
      <c r="H15" s="6" t="n"/>
      <c r="I15" s="6" t="n"/>
      <c r="J15" s="25">
        <f>IF(INDEX('CBTA'!$A$2:$A$300,9)="","",INDEX('CBTA'!$A$2:$A$300,9))</f>
        <v/>
      </c>
      <c r="K15" s="25">
        <f>IF(INDEX('CBTA'!$B$2:$B$300,9)="","",INDEX('CBTA'!$B$2:$B$300,9))</f>
        <v/>
      </c>
      <c r="L15" s="26">
        <f>IF(INDEX('CBTA'!$C$2:$C$300,9)="","",INDEX('CBTA'!$C$2:$C$300,9))</f>
        <v/>
      </c>
      <c r="M15" s="26">
        <f>IF(INDEX('CBTA'!$F$2:$F$300,9)="","",INDEX('CBTA'!$F$2:$F$300,9))</f>
        <v/>
      </c>
      <c r="N15" s="26">
        <f>IF(INDEX('CBTA'!$D$2:$D$300,9)="","",INDEX('CBTA'!$D$2:$D$300,9))</f>
        <v/>
      </c>
      <c r="O15" s="26">
        <f>IF(INDEX('CBTA'!$E$2:$E$300,9)="","",INDEX('CBTA'!$E$2:$E$300,9))</f>
        <v/>
      </c>
      <c r="P15" s="29">
        <f>IF(L15="","",M15/L15)</f>
        <v/>
      </c>
      <c r="Q15" s="29">
        <f>IF(J15="","",INDEX('CBTA'!$G$2:$G$300,9)/100)</f>
        <v/>
      </c>
      <c r="R15" s="26">
        <f>IF(INDEX('CBTA'!$H$2:$H$300,9)="","",INDEX('CBTA'!$H$2:$H$300,9))</f>
        <v/>
      </c>
      <c r="S15" s="29">
        <f>IF(J15="","",INDEX('CBTA'!$I$2:$I$300,9)/100)</f>
        <v/>
      </c>
      <c r="T15" s="6" t="n"/>
      <c r="U15" s="6" t="n"/>
      <c r="V15" s="6" t="n"/>
      <c r="W15" s="6">
        <f>IF(J15="","",J15&amp;" "&amp;K15)</f>
        <v/>
      </c>
      <c r="X15" s="6" t="n"/>
      <c r="Y15" s="6" t="n"/>
      <c r="Z15" s="6" t="n"/>
    </row>
    <row r="16">
      <c r="A16" s="6" t="n"/>
      <c r="B16" s="25">
        <f>IF(INDEX('Dao tao bat buoc'!$A$2:$A$300,10)="","",INDEX('Dao tao bat buoc'!$A$2:$A$300,10))</f>
        <v/>
      </c>
      <c r="C16" s="25" t="inlineStr"/>
      <c r="D16" s="26">
        <f>IF(INDEX('Dao tao bat buoc'!$B$2:$B$300,10)="","",INDEX('Dao tao bat buoc'!$B$2:$B$300,10))</f>
        <v/>
      </c>
      <c r="E16" s="26">
        <f>IF(INDEX('Dao tao bat buoc'!$C$2:$C$300,10)="","",INDEX('Dao tao bat buoc'!$C$2:$C$300,10))</f>
        <v/>
      </c>
      <c r="F16" s="26">
        <f>IF(INDEX('Dao tao bat buoc'!$D$2:$D$300,10)="","",INDEX('Dao tao bat buoc'!$D$2:$D$300,10))</f>
        <v/>
      </c>
      <c r="G16" s="27">
        <f>IF(D16="","",E16/D16)</f>
        <v/>
      </c>
      <c r="H16" s="6" t="n"/>
      <c r="I16" s="6" t="n"/>
      <c r="J16" s="25">
        <f>IF(INDEX('CBTA'!$A$2:$A$300,10)="","",INDEX('CBTA'!$A$2:$A$300,10))</f>
        <v/>
      </c>
      <c r="K16" s="25">
        <f>IF(INDEX('CBTA'!$B$2:$B$300,10)="","",INDEX('CBTA'!$B$2:$B$300,10))</f>
        <v/>
      </c>
      <c r="L16" s="26">
        <f>IF(INDEX('CBTA'!$C$2:$C$300,10)="","",INDEX('CBTA'!$C$2:$C$300,10))</f>
        <v/>
      </c>
      <c r="M16" s="26">
        <f>IF(INDEX('CBTA'!$F$2:$F$300,10)="","",INDEX('CBTA'!$F$2:$F$300,10))</f>
        <v/>
      </c>
      <c r="N16" s="26">
        <f>IF(INDEX('CBTA'!$D$2:$D$300,10)="","",INDEX('CBTA'!$D$2:$D$300,10))</f>
        <v/>
      </c>
      <c r="O16" s="26">
        <f>IF(INDEX('CBTA'!$E$2:$E$300,10)="","",INDEX('CBTA'!$E$2:$E$300,10))</f>
        <v/>
      </c>
      <c r="P16" s="29">
        <f>IF(L16="","",M16/L16)</f>
        <v/>
      </c>
      <c r="Q16" s="29">
        <f>IF(J16="","",INDEX('CBTA'!$G$2:$G$300,10)/100)</f>
        <v/>
      </c>
      <c r="R16" s="26">
        <f>IF(INDEX('CBTA'!$H$2:$H$300,10)="","",INDEX('CBTA'!$H$2:$H$300,10))</f>
        <v/>
      </c>
      <c r="S16" s="29">
        <f>IF(J16="","",INDEX('CBTA'!$I$2:$I$300,10)/100)</f>
        <v/>
      </c>
      <c r="T16" s="6" t="n"/>
      <c r="U16" s="6" t="n"/>
      <c r="V16" s="6" t="n"/>
      <c r="W16" s="6">
        <f>IF(J16="","",J16&amp;" "&amp;K16)</f>
        <v/>
      </c>
      <c r="X16" s="6" t="n"/>
      <c r="Y16" s="6" t="n"/>
      <c r="Z16" s="6" t="n"/>
    </row>
    <row r="17">
      <c r="A17" s="6" t="n"/>
      <c r="B17" s="30" t="inlineStr">
        <is>
          <t>Total</t>
        </is>
      </c>
      <c r="C17" s="30" t="n"/>
      <c r="D17" s="31">
        <f>SUM(D7:D16)</f>
        <v/>
      </c>
      <c r="E17" s="31">
        <f>SUM(E7:E16)</f>
        <v/>
      </c>
      <c r="F17" s="31">
        <f>SUM(F7:F16)</f>
        <v/>
      </c>
      <c r="G17" s="32">
        <f>IF(D17=0,"",E17/D17)</f>
        <v/>
      </c>
      <c r="H17" s="6" t="n"/>
      <c r="I17" s="6" t="n"/>
      <c r="J17" s="6" t="n"/>
      <c r="K17" s="6" t="n"/>
      <c r="L17" s="6" t="n"/>
      <c r="M17" s="6" t="n"/>
      <c r="N17" s="6" t="n"/>
      <c r="O17" s="6" t="n"/>
      <c r="P17" s="6" t="n"/>
      <c r="Q17" s="6" t="n"/>
      <c r="R17" s="6" t="n"/>
      <c r="S17" s="6" t="n"/>
      <c r="T17" s="6" t="n"/>
      <c r="U17" s="6" t="n"/>
      <c r="V17" s="6" t="n"/>
      <c r="W17" s="6" t="n"/>
      <c r="X17" s="6" t="n"/>
      <c r="Y17" s="6" t="n"/>
      <c r="Z17" s="6" t="n"/>
    </row>
    <row r="18">
      <c r="A18" s="6" t="n"/>
      <c r="B18" s="6" t="n"/>
      <c r="C18" s="6" t="n"/>
      <c r="D18" s="6" t="n"/>
      <c r="E18" s="6" t="n"/>
      <c r="F18" s="6" t="n"/>
      <c r="G18" s="6" t="n"/>
      <c r="H18" s="6" t="n"/>
      <c r="I18" s="6" t="n"/>
      <c r="J18" s="6" t="n"/>
      <c r="K18" s="6" t="n"/>
      <c r="L18" s="6" t="n"/>
      <c r="M18" s="6" t="n"/>
      <c r="N18" s="6" t="n"/>
      <c r="O18" s="6" t="n"/>
      <c r="P18" s="6" t="n"/>
      <c r="Q18" s="6" t="n"/>
      <c r="R18" s="6" t="n"/>
      <c r="S18" s="6" t="n"/>
      <c r="T18" s="6" t="n"/>
      <c r="U18" s="6" t="n"/>
      <c r="V18" s="6" t="n"/>
      <c r="W18" s="6" t="n"/>
      <c r="X18" s="6" t="n"/>
      <c r="Y18" s="6" t="n"/>
      <c r="Z18" s="6" t="n"/>
    </row>
    <row r="19">
      <c r="A19" s="6" t="n"/>
      <c r="B19" s="6" t="n"/>
      <c r="C19" s="6" t="n"/>
      <c r="D19" s="6" t="n"/>
      <c r="E19" s="6" t="n"/>
      <c r="F19" s="6" t="n"/>
      <c r="G19" s="6" t="n"/>
      <c r="H19" s="6" t="n"/>
      <c r="I19" s="6" t="n"/>
      <c r="J19" s="6" t="n"/>
      <c r="K19" s="6" t="n"/>
      <c r="L19" s="6" t="n"/>
      <c r="M19" s="6" t="n"/>
      <c r="N19" s="6" t="n"/>
      <c r="O19" s="6" t="n"/>
      <c r="P19" s="6" t="n"/>
      <c r="Q19" s="6" t="n"/>
      <c r="R19" s="6" t="n"/>
      <c r="S19" s="6" t="n"/>
      <c r="T19" s="6" t="n"/>
      <c r="U19" s="6" t="n"/>
      <c r="V19" s="6" t="n"/>
      <c r="W19" s="6" t="n"/>
      <c r="X19" s="6" t="n"/>
      <c r="Y19" s="6" t="n"/>
      <c r="Z19" s="6" t="n"/>
    </row>
    <row r="20">
      <c r="A20" s="6" t="n"/>
      <c r="B20" s="6" t="n"/>
      <c r="C20" s="6" t="n"/>
      <c r="D20" s="6" t="n"/>
      <c r="E20" s="6" t="n"/>
      <c r="F20" s="6" t="n"/>
      <c r="G20" s="6" t="n"/>
      <c r="H20" s="6" t="n"/>
      <c r="I20" s="6" t="n"/>
      <c r="J20" s="22" t="inlineStr">
        <is>
          <t>Vendor training schedule</t>
        </is>
      </c>
      <c r="K20" s="6" t="n"/>
      <c r="L20" s="6" t="n"/>
      <c r="M20" s="6" t="n"/>
      <c r="N20" s="6" t="n"/>
      <c r="O20" s="6" t="n"/>
      <c r="P20" s="6" t="n"/>
      <c r="Q20" s="6" t="n"/>
      <c r="R20" s="6" t="n"/>
      <c r="S20" s="6" t="n"/>
      <c r="T20" s="6" t="n"/>
      <c r="U20" s="6" t="n"/>
      <c r="V20" s="6" t="n"/>
      <c r="W20" s="6" t="n"/>
      <c r="X20" s="6" t="n"/>
      <c r="Y20" s="6" t="n"/>
      <c r="Z20" s="6" t="n"/>
    </row>
    <row r="21">
      <c r="A21" s="6" t="n"/>
      <c r="B21" s="6" t="n"/>
      <c r="C21" s="6" t="n"/>
      <c r="D21" s="6" t="n"/>
      <c r="E21" s="6" t="n"/>
      <c r="F21" s="6" t="n"/>
      <c r="G21" s="6" t="n"/>
      <c r="H21" s="6" t="n"/>
      <c r="I21" s="6" t="n"/>
      <c r="J21" s="23" t="inlineStr">
        <is>
          <t>Period = month (YYYY-MM) or year.</t>
        </is>
      </c>
      <c r="K21" s="6" t="n"/>
      <c r="L21" s="6" t="n"/>
      <c r="M21" s="6" t="n"/>
      <c r="N21" s="6" t="n"/>
      <c r="O21" s="6" t="n"/>
      <c r="P21" s="6" t="n"/>
      <c r="Q21" s="6" t="n"/>
      <c r="R21" s="6" t="n"/>
      <c r="S21" s="6" t="n"/>
      <c r="T21" s="6" t="n"/>
      <c r="U21" s="6" t="n"/>
      <c r="V21" s="6" t="n"/>
      <c r="W21" s="6" t="n"/>
      <c r="X21" s="6" t="n"/>
      <c r="Y21" s="6" t="n"/>
      <c r="Z21" s="6" t="n"/>
    </row>
    <row r="22">
      <c r="A22" s="6" t="n"/>
      <c r="B22" s="6" t="n"/>
      <c r="C22" s="6" t="n"/>
      <c r="D22" s="6" t="n"/>
      <c r="E22" s="6" t="n"/>
      <c r="F22" s="6" t="n"/>
      <c r="G22" s="6" t="n"/>
      <c r="H22" s="6" t="n"/>
      <c r="I22" s="6" t="n"/>
      <c r="J22" s="24" t="inlineStr">
        <is>
          <t>Period</t>
        </is>
      </c>
      <c r="K22" s="24" t="inlineStr"/>
      <c r="L22" s="24" t="inlineStr">
        <is>
          <t>Course</t>
        </is>
      </c>
      <c r="M22" s="33" t="n"/>
      <c r="N22" s="33" t="n"/>
      <c r="O22" s="33" t="n"/>
      <c r="P22" s="33" t="n"/>
      <c r="Q22" s="6" t="n"/>
      <c r="R22" s="6" t="n"/>
      <c r="S22" s="6" t="n"/>
      <c r="T22" s="6" t="n"/>
      <c r="U22" s="6" t="n"/>
      <c r="V22" s="6" t="n"/>
      <c r="W22" s="6" t="n"/>
      <c r="X22" s="6" t="n"/>
      <c r="Y22" s="6" t="n"/>
      <c r="Z22" s="6" t="n"/>
    </row>
    <row r="23">
      <c r="A23" s="6" t="n"/>
      <c r="B23" s="6" t="n"/>
      <c r="C23" s="6" t="n"/>
      <c r="D23" s="6" t="n"/>
      <c r="E23" s="6" t="n"/>
      <c r="F23" s="6" t="n"/>
      <c r="G23" s="6" t="n"/>
      <c r="H23" s="6" t="n"/>
      <c r="I23" s="6" t="n"/>
      <c r="J23" s="25">
        <f>IF(INDEX('Dao tao vendor'!$B$2:$B$300,1)="","",INDEX('Dao tao vendor'!$B$2:$B$300,1))</f>
        <v/>
      </c>
      <c r="K23" s="25" t="inlineStr"/>
      <c r="L23" s="34">
        <f>IF(INDEX('Dao tao vendor'!$A$2:$A$300,1)="","",INDEX('Dao tao vendor'!$A$2:$A$300,1))</f>
        <v/>
      </c>
      <c r="M23" s="33" t="n"/>
      <c r="N23" s="33" t="n"/>
      <c r="O23" s="33" t="n"/>
      <c r="P23" s="33" t="n"/>
      <c r="Q23" s="6" t="n"/>
      <c r="R23" s="6" t="n"/>
      <c r="S23" s="6" t="n"/>
      <c r="T23" s="6" t="n"/>
      <c r="U23" s="6" t="n"/>
      <c r="V23" s="6" t="n"/>
      <c r="W23" s="6" t="n"/>
      <c r="X23" s="6" t="n"/>
      <c r="Y23" s="6" t="n"/>
      <c r="Z23" s="6" t="n"/>
    </row>
    <row r="24">
      <c r="A24" s="6" t="n"/>
      <c r="B24" s="6" t="n"/>
      <c r="C24" s="6" t="n"/>
      <c r="D24" s="6" t="n"/>
      <c r="E24" s="6" t="n"/>
      <c r="F24" s="6" t="n"/>
      <c r="G24" s="6" t="n"/>
      <c r="H24" s="6" t="n"/>
      <c r="I24" s="6" t="n"/>
      <c r="J24" s="25">
        <f>IF(INDEX('Dao tao vendor'!$B$2:$B$300,2)="","",INDEX('Dao tao vendor'!$B$2:$B$300,2))</f>
        <v/>
      </c>
      <c r="K24" s="25" t="inlineStr"/>
      <c r="L24" s="34">
        <f>IF(INDEX('Dao tao vendor'!$A$2:$A$300,2)="","",INDEX('Dao tao vendor'!$A$2:$A$300,2))</f>
        <v/>
      </c>
      <c r="M24" s="33" t="n"/>
      <c r="N24" s="33" t="n"/>
      <c r="O24" s="33" t="n"/>
      <c r="P24" s="33" t="n"/>
      <c r="Q24" s="6" t="n"/>
      <c r="R24" s="6" t="n"/>
      <c r="S24" s="6" t="n"/>
      <c r="T24" s="6" t="n"/>
      <c r="U24" s="6" t="n"/>
      <c r="V24" s="6" t="n"/>
      <c r="W24" s="6" t="n"/>
      <c r="X24" s="6" t="n"/>
      <c r="Y24" s="6" t="n"/>
      <c r="Z24" s="6" t="n"/>
    </row>
    <row r="25">
      <c r="A25" s="6" t="n"/>
      <c r="B25" s="6" t="n"/>
      <c r="C25" s="6" t="n"/>
      <c r="D25" s="6" t="n"/>
      <c r="E25" s="6" t="n"/>
      <c r="F25" s="6" t="n"/>
      <c r="G25" s="6" t="n"/>
      <c r="H25" s="6" t="n"/>
      <c r="I25" s="6" t="n"/>
      <c r="J25" s="25">
        <f>IF(INDEX('Dao tao vendor'!$B$2:$B$300,3)="","",INDEX('Dao tao vendor'!$B$2:$B$300,3))</f>
        <v/>
      </c>
      <c r="K25" s="25" t="inlineStr"/>
      <c r="L25" s="34">
        <f>IF(INDEX('Dao tao vendor'!$A$2:$A$300,3)="","",INDEX('Dao tao vendor'!$A$2:$A$300,3))</f>
        <v/>
      </c>
      <c r="M25" s="33" t="n"/>
      <c r="N25" s="33" t="n"/>
      <c r="O25" s="33" t="n"/>
      <c r="P25" s="33" t="n"/>
      <c r="Q25" s="6" t="n"/>
      <c r="R25" s="6" t="n"/>
      <c r="S25" s="6" t="n"/>
      <c r="T25" s="6" t="n"/>
      <c r="U25" s="6" t="n"/>
      <c r="V25" s="6" t="n"/>
      <c r="W25" s="6" t="n"/>
      <c r="X25" s="6" t="n"/>
      <c r="Y25" s="6" t="n"/>
      <c r="Z25" s="6" t="n"/>
    </row>
    <row r="26">
      <c r="A26" s="6" t="n"/>
      <c r="B26" s="6" t="n"/>
      <c r="C26" s="6" t="n"/>
      <c r="D26" s="6" t="n"/>
      <c r="E26" s="6" t="n"/>
      <c r="F26" s="6" t="n"/>
      <c r="G26" s="6" t="n"/>
      <c r="H26" s="6" t="n"/>
      <c r="I26" s="6" t="n"/>
      <c r="J26" s="25">
        <f>IF(INDEX('Dao tao vendor'!$B$2:$B$300,4)="","",INDEX('Dao tao vendor'!$B$2:$B$300,4))</f>
        <v/>
      </c>
      <c r="K26" s="25" t="inlineStr"/>
      <c r="L26" s="34">
        <f>IF(INDEX('Dao tao vendor'!$A$2:$A$300,4)="","",INDEX('Dao tao vendor'!$A$2:$A$300,4))</f>
        <v/>
      </c>
      <c r="M26" s="33" t="n"/>
      <c r="N26" s="33" t="n"/>
      <c r="O26" s="33" t="n"/>
      <c r="P26" s="33" t="n"/>
      <c r="Q26" s="6" t="n"/>
      <c r="R26" s="6" t="n"/>
      <c r="S26" s="6" t="n"/>
      <c r="T26" s="6" t="n"/>
      <c r="U26" s="6" t="n"/>
      <c r="V26" s="6" t="n"/>
      <c r="W26" s="6" t="n"/>
      <c r="X26" s="6" t="n"/>
      <c r="Y26" s="6" t="n"/>
      <c r="Z26" s="6" t="n"/>
    </row>
    <row r="27">
      <c r="A27" s="6" t="n"/>
      <c r="B27" s="6" t="n"/>
      <c r="C27" s="6" t="n"/>
      <c r="D27" s="6" t="n"/>
      <c r="E27" s="6" t="n"/>
      <c r="F27" s="6" t="n"/>
      <c r="G27" s="6" t="n"/>
      <c r="H27" s="6" t="n"/>
      <c r="I27" s="6" t="n"/>
      <c r="J27" s="25">
        <f>IF(INDEX('Dao tao vendor'!$B$2:$B$300,5)="","",INDEX('Dao tao vendor'!$B$2:$B$300,5))</f>
        <v/>
      </c>
      <c r="K27" s="25" t="inlineStr"/>
      <c r="L27" s="34">
        <f>IF(INDEX('Dao tao vendor'!$A$2:$A$300,5)="","",INDEX('Dao tao vendor'!$A$2:$A$300,5))</f>
        <v/>
      </c>
      <c r="M27" s="33" t="n"/>
      <c r="N27" s="33" t="n"/>
      <c r="O27" s="33" t="n"/>
      <c r="P27" s="33" t="n"/>
      <c r="Q27" s="6" t="n"/>
      <c r="R27" s="6" t="n"/>
      <c r="S27" s="6" t="n"/>
      <c r="T27" s="6" t="n"/>
      <c r="U27" s="6" t="n"/>
      <c r="V27" s="6" t="n"/>
      <c r="W27" s="6" t="n"/>
      <c r="X27" s="6" t="n"/>
      <c r="Y27" s="6" t="n"/>
      <c r="Z27" s="6" t="n"/>
    </row>
    <row r="28">
      <c r="A28" s="6" t="n"/>
      <c r="B28" s="6" t="n"/>
      <c r="C28" s="6" t="n"/>
      <c r="D28" s="6" t="n"/>
      <c r="E28" s="6" t="n"/>
      <c r="F28" s="6" t="n"/>
      <c r="G28" s="6" t="n"/>
      <c r="H28" s="6" t="n"/>
      <c r="I28" s="6" t="n"/>
      <c r="J28" s="25">
        <f>IF(INDEX('Dao tao vendor'!$B$2:$B$300,6)="","",INDEX('Dao tao vendor'!$B$2:$B$300,6))</f>
        <v/>
      </c>
      <c r="K28" s="25" t="inlineStr"/>
      <c r="L28" s="34">
        <f>IF(INDEX('Dao tao vendor'!$A$2:$A$300,6)="","",INDEX('Dao tao vendor'!$A$2:$A$300,6))</f>
        <v/>
      </c>
      <c r="M28" s="33" t="n"/>
      <c r="N28" s="33" t="n"/>
      <c r="O28" s="33" t="n"/>
      <c r="P28" s="33" t="n"/>
      <c r="Q28" s="6" t="n"/>
      <c r="R28" s="6" t="n"/>
      <c r="S28" s="6" t="n"/>
      <c r="T28" s="6" t="n"/>
      <c r="U28" s="6" t="n"/>
      <c r="V28" s="6" t="n"/>
      <c r="W28" s="6" t="n"/>
      <c r="X28" s="6" t="n"/>
      <c r="Y28" s="6" t="n"/>
      <c r="Z28" s="6" t="n"/>
    </row>
    <row r="29">
      <c r="A29" s="6" t="n"/>
      <c r="B29" s="6" t="n"/>
      <c r="C29" s="6" t="n"/>
      <c r="D29" s="6" t="n"/>
      <c r="E29" s="6" t="n"/>
      <c r="F29" s="6" t="n"/>
      <c r="G29" s="6" t="n"/>
      <c r="H29" s="6" t="n"/>
      <c r="I29" s="6" t="n"/>
      <c r="J29" s="25">
        <f>IF(INDEX('Dao tao vendor'!$B$2:$B$300,7)="","",INDEX('Dao tao vendor'!$B$2:$B$300,7))</f>
        <v/>
      </c>
      <c r="K29" s="25" t="inlineStr"/>
      <c r="L29" s="34">
        <f>IF(INDEX('Dao tao vendor'!$A$2:$A$300,7)="","",INDEX('Dao tao vendor'!$A$2:$A$300,7))</f>
        <v/>
      </c>
      <c r="M29" s="33" t="n"/>
      <c r="N29" s="33" t="n"/>
      <c r="O29" s="33" t="n"/>
      <c r="P29" s="33" t="n"/>
      <c r="Q29" s="6" t="n"/>
      <c r="R29" s="6" t="n"/>
      <c r="S29" s="6" t="n"/>
      <c r="T29" s="6" t="n"/>
      <c r="U29" s="6" t="n"/>
      <c r="V29" s="6" t="n"/>
      <c r="W29" s="6" t="n"/>
      <c r="X29" s="6" t="n"/>
      <c r="Y29" s="6" t="n"/>
      <c r="Z29" s="6" t="n"/>
    </row>
    <row r="30">
      <c r="A30" s="6" t="n"/>
      <c r="B30" s="6" t="n"/>
      <c r="C30" s="6" t="n"/>
      <c r="D30" s="6" t="n"/>
      <c r="E30" s="6" t="n"/>
      <c r="F30" s="6" t="n"/>
      <c r="G30" s="6" t="n"/>
      <c r="H30" s="6" t="n"/>
      <c r="I30" s="6" t="n"/>
      <c r="J30" s="25">
        <f>IF(INDEX('Dao tao vendor'!$B$2:$B$300,8)="","",INDEX('Dao tao vendor'!$B$2:$B$300,8))</f>
        <v/>
      </c>
      <c r="K30" s="25" t="inlineStr"/>
      <c r="L30" s="34">
        <f>IF(INDEX('Dao tao vendor'!$A$2:$A$300,8)="","",INDEX('Dao tao vendor'!$A$2:$A$300,8))</f>
        <v/>
      </c>
      <c r="M30" s="33" t="n"/>
      <c r="N30" s="33" t="n"/>
      <c r="O30" s="33" t="n"/>
      <c r="P30" s="33" t="n"/>
      <c r="Q30" s="6" t="n"/>
      <c r="R30" s="6" t="n"/>
      <c r="S30" s="6" t="n"/>
      <c r="T30" s="6" t="n"/>
      <c r="U30" s="6" t="n"/>
      <c r="V30" s="6" t="n"/>
      <c r="W30" s="6" t="n"/>
      <c r="X30" s="6" t="n"/>
      <c r="Y30" s="6" t="n"/>
      <c r="Z30" s="6" t="n"/>
    </row>
    <row r="31">
      <c r="A31" s="6" t="n"/>
      <c r="B31" s="6" t="n"/>
      <c r="C31" s="6" t="n"/>
      <c r="D31" s="6" t="n"/>
      <c r="E31" s="6" t="n"/>
      <c r="F31" s="6" t="n"/>
      <c r="G31" s="6" t="n"/>
      <c r="H31" s="6" t="n"/>
      <c r="I31" s="6" t="n"/>
      <c r="J31" s="25">
        <f>IF(INDEX('Dao tao vendor'!$B$2:$B$300,9)="","",INDEX('Dao tao vendor'!$B$2:$B$300,9))</f>
        <v/>
      </c>
      <c r="K31" s="25" t="inlineStr"/>
      <c r="L31" s="34">
        <f>IF(INDEX('Dao tao vendor'!$A$2:$A$300,9)="","",INDEX('Dao tao vendor'!$A$2:$A$300,9))</f>
        <v/>
      </c>
      <c r="M31" s="33" t="n"/>
      <c r="N31" s="33" t="n"/>
      <c r="O31" s="33" t="n"/>
      <c r="P31" s="33" t="n"/>
      <c r="Q31" s="6" t="n"/>
      <c r="R31" s="6" t="n"/>
      <c r="S31" s="6" t="n"/>
      <c r="T31" s="6" t="n"/>
      <c r="U31" s="6" t="n"/>
      <c r="V31" s="6" t="n"/>
      <c r="W31" s="6" t="n"/>
      <c r="X31" s="6" t="n"/>
      <c r="Y31" s="6" t="n"/>
      <c r="Z31" s="6" t="n"/>
    </row>
    <row r="32">
      <c r="A32" s="6" t="n"/>
      <c r="B32" s="6" t="n"/>
      <c r="C32" s="6" t="n"/>
      <c r="D32" s="6" t="n"/>
      <c r="E32" s="6" t="n"/>
      <c r="F32" s="6" t="n"/>
      <c r="G32" s="6" t="n"/>
      <c r="H32" s="6" t="n"/>
      <c r="I32" s="6" t="n"/>
      <c r="J32" s="25">
        <f>IF(INDEX('Dao tao vendor'!$B$2:$B$300,10)="","",INDEX('Dao tao vendor'!$B$2:$B$300,10))</f>
        <v/>
      </c>
      <c r="K32" s="25" t="inlineStr"/>
      <c r="L32" s="34">
        <f>IF(INDEX('Dao tao vendor'!$A$2:$A$300,10)="","",INDEX('Dao tao vendor'!$A$2:$A$300,10))</f>
        <v/>
      </c>
      <c r="M32" s="33" t="n"/>
      <c r="N32" s="33" t="n"/>
      <c r="O32" s="33" t="n"/>
      <c r="P32" s="33" t="n"/>
      <c r="Q32" s="6" t="n"/>
      <c r="R32" s="6" t="n"/>
      <c r="S32" s="6" t="n"/>
      <c r="T32" s="6" t="n"/>
      <c r="U32" s="6" t="n"/>
      <c r="V32" s="6" t="n"/>
      <c r="W32" s="6" t="n"/>
      <c r="X32" s="6" t="n"/>
      <c r="Y32" s="6" t="n"/>
      <c r="Z32" s="6" t="n"/>
    </row>
    <row r="33">
      <c r="A33" s="6" t="n"/>
      <c r="B33" s="6" t="n"/>
      <c r="C33" s="6" t="n"/>
      <c r="D33" s="6" t="n"/>
      <c r="E33" s="6" t="n"/>
      <c r="F33" s="6" t="n"/>
      <c r="G33" s="6" t="n"/>
      <c r="H33" s="6" t="n"/>
      <c r="I33" s="6" t="n"/>
      <c r="J33" s="25">
        <f>IF(INDEX('Dao tao vendor'!$B$2:$B$300,11)="","",INDEX('Dao tao vendor'!$B$2:$B$300,11))</f>
        <v/>
      </c>
      <c r="K33" s="25" t="inlineStr"/>
      <c r="L33" s="34">
        <f>IF(INDEX('Dao tao vendor'!$A$2:$A$300,11)="","",INDEX('Dao tao vendor'!$A$2:$A$300,11))</f>
        <v/>
      </c>
      <c r="M33" s="33" t="n"/>
      <c r="N33" s="33" t="n"/>
      <c r="O33" s="33" t="n"/>
      <c r="P33" s="33" t="n"/>
      <c r="Q33" s="6" t="n"/>
      <c r="R33" s="6" t="n"/>
      <c r="S33" s="6" t="n"/>
      <c r="T33" s="6" t="n"/>
      <c r="U33" s="6" t="n"/>
      <c r="V33" s="6" t="n"/>
      <c r="W33" s="6" t="n"/>
      <c r="X33" s="6" t="n"/>
      <c r="Y33" s="6" t="n"/>
      <c r="Z33" s="6" t="n"/>
    </row>
    <row r="34">
      <c r="A34" s="6" t="n"/>
      <c r="B34" s="6" t="n"/>
      <c r="C34" s="6" t="n"/>
      <c r="D34" s="6" t="n"/>
      <c r="E34" s="6" t="n"/>
      <c r="F34" s="6" t="n"/>
      <c r="G34" s="6" t="n"/>
      <c r="H34" s="6" t="n"/>
      <c r="I34" s="6" t="n"/>
      <c r="J34" s="25">
        <f>IF(INDEX('Dao tao vendor'!$B$2:$B$300,12)="","",INDEX('Dao tao vendor'!$B$2:$B$300,12))</f>
        <v/>
      </c>
      <c r="K34" s="25" t="inlineStr"/>
      <c r="L34" s="34">
        <f>IF(INDEX('Dao tao vendor'!$A$2:$A$300,12)="","",INDEX('Dao tao vendor'!$A$2:$A$300,12))</f>
        <v/>
      </c>
      <c r="M34" s="33" t="n"/>
      <c r="N34" s="33" t="n"/>
      <c r="O34" s="33" t="n"/>
      <c r="P34" s="33" t="n"/>
      <c r="Q34" s="6" t="n"/>
      <c r="R34" s="6" t="n"/>
      <c r="S34" s="6" t="n"/>
      <c r="T34" s="6" t="n"/>
      <c r="U34" s="6" t="n"/>
      <c r="V34" s="6" t="n"/>
      <c r="W34" s="6" t="n"/>
      <c r="X34" s="6" t="n"/>
      <c r="Y34" s="6" t="n"/>
      <c r="Z34" s="6" t="n"/>
    </row>
    <row r="35">
      <c r="A35" s="6" t="n"/>
      <c r="B35" s="6" t="n"/>
      <c r="C35" s="6" t="n"/>
      <c r="D35" s="6" t="n"/>
      <c r="E35" s="6" t="n"/>
      <c r="F35" s="6" t="n"/>
      <c r="G35" s="6" t="n"/>
      <c r="H35" s="6" t="n"/>
      <c r="I35" s="6" t="n"/>
      <c r="J35" s="25">
        <f>IF(INDEX('Dao tao vendor'!$B$2:$B$300,13)="","",INDEX('Dao tao vendor'!$B$2:$B$300,13))</f>
        <v/>
      </c>
      <c r="K35" s="25" t="inlineStr"/>
      <c r="L35" s="34">
        <f>IF(INDEX('Dao tao vendor'!$A$2:$A$300,13)="","",INDEX('Dao tao vendor'!$A$2:$A$300,13))</f>
        <v/>
      </c>
      <c r="M35" s="33" t="n"/>
      <c r="N35" s="33" t="n"/>
      <c r="O35" s="33" t="n"/>
      <c r="P35" s="33" t="n"/>
      <c r="Q35" s="6" t="n"/>
      <c r="R35" s="6" t="n"/>
      <c r="S35" s="6" t="n"/>
      <c r="T35" s="6" t="n"/>
      <c r="U35" s="6" t="n"/>
      <c r="V35" s="6" t="n"/>
      <c r="W35" s="6" t="n"/>
      <c r="X35" s="6" t="n"/>
      <c r="Y35" s="6" t="n"/>
      <c r="Z35" s="6" t="n"/>
    </row>
    <row r="36">
      <c r="A36" s="6" t="n"/>
      <c r="B36" s="6" t="n"/>
      <c r="C36" s="6" t="n"/>
      <c r="D36" s="6" t="n"/>
      <c r="E36" s="6" t="n"/>
      <c r="F36" s="6" t="n"/>
      <c r="G36" s="6" t="n"/>
      <c r="H36" s="6" t="n"/>
      <c r="I36" s="6" t="n"/>
      <c r="J36" s="25">
        <f>IF(INDEX('Dao tao vendor'!$B$2:$B$300,14)="","",INDEX('Dao tao vendor'!$B$2:$B$300,14))</f>
        <v/>
      </c>
      <c r="K36" s="25" t="inlineStr"/>
      <c r="L36" s="34">
        <f>IF(INDEX('Dao tao vendor'!$A$2:$A$300,14)="","",INDEX('Dao tao vendor'!$A$2:$A$300,14))</f>
        <v/>
      </c>
      <c r="M36" s="33" t="n"/>
      <c r="N36" s="33" t="n"/>
      <c r="O36" s="33" t="n"/>
      <c r="P36" s="33" t="n"/>
      <c r="Q36" s="6" t="n"/>
      <c r="R36" s="6" t="n"/>
      <c r="S36" s="6" t="n"/>
      <c r="T36" s="6" t="n"/>
      <c r="U36" s="6" t="n"/>
      <c r="V36" s="6" t="n"/>
      <c r="W36" s="6" t="n"/>
      <c r="X36" s="6" t="n"/>
      <c r="Y36" s="6" t="n"/>
      <c r="Z36" s="6" t="n"/>
    </row>
    <row r="37">
      <c r="A37" s="6" t="n"/>
      <c r="B37" s="6" t="n"/>
      <c r="C37" s="6" t="n"/>
      <c r="D37" s="6" t="n"/>
      <c r="E37" s="6" t="n"/>
      <c r="F37" s="6" t="n"/>
      <c r="G37" s="6" t="n"/>
      <c r="H37" s="6" t="n"/>
      <c r="I37" s="6" t="n"/>
      <c r="J37" s="25">
        <f>IF(INDEX('Dao tao vendor'!$B$2:$B$300,15)="","",INDEX('Dao tao vendor'!$B$2:$B$300,15))</f>
        <v/>
      </c>
      <c r="K37" s="25" t="inlineStr"/>
      <c r="L37" s="34">
        <f>IF(INDEX('Dao tao vendor'!$A$2:$A$300,15)="","",INDEX('Dao tao vendor'!$A$2:$A$300,15))</f>
        <v/>
      </c>
      <c r="M37" s="33" t="n"/>
      <c r="N37" s="33" t="n"/>
      <c r="O37" s="33" t="n"/>
      <c r="P37" s="33" t="n"/>
      <c r="Q37" s="6" t="n"/>
      <c r="R37" s="6" t="n"/>
      <c r="S37" s="6" t="n"/>
      <c r="T37" s="6" t="n"/>
      <c r="U37" s="6" t="n"/>
      <c r="V37" s="6" t="n"/>
      <c r="W37" s="6" t="n"/>
      <c r="X37" s="6" t="n"/>
      <c r="Y37" s="6" t="n"/>
      <c r="Z37" s="6" t="n"/>
    </row>
    <row r="38">
      <c r="A38" s="6" t="n"/>
      <c r="B38" s="6" t="n"/>
      <c r="C38" s="6" t="n"/>
      <c r="D38" s="6" t="n"/>
      <c r="E38" s="6" t="n"/>
      <c r="F38" s="6" t="n"/>
      <c r="G38" s="6" t="n"/>
      <c r="H38" s="6" t="n"/>
      <c r="I38" s="6" t="n"/>
      <c r="J38" s="25">
        <f>IF(INDEX('Dao tao vendor'!$B$2:$B$300,16)="","",INDEX('Dao tao vendor'!$B$2:$B$300,16))</f>
        <v/>
      </c>
      <c r="K38" s="25" t="inlineStr"/>
      <c r="L38" s="34">
        <f>IF(INDEX('Dao tao vendor'!$A$2:$A$300,16)="","",INDEX('Dao tao vendor'!$A$2:$A$300,16))</f>
        <v/>
      </c>
      <c r="M38" s="33" t="n"/>
      <c r="N38" s="33" t="n"/>
      <c r="O38" s="33" t="n"/>
      <c r="P38" s="33" t="n"/>
      <c r="Q38" s="6" t="n"/>
      <c r="R38" s="6" t="n"/>
      <c r="S38" s="6" t="n"/>
      <c r="T38" s="6" t="n"/>
      <c r="U38" s="6" t="n"/>
      <c r="V38" s="6" t="n"/>
      <c r="W38" s="6" t="n"/>
      <c r="X38" s="6" t="n"/>
      <c r="Y38" s="6" t="n"/>
      <c r="Z38" s="6" t="n"/>
    </row>
    <row r="39">
      <c r="A39" s="6" t="n"/>
      <c r="B39" s="6" t="n"/>
      <c r="C39" s="6" t="n"/>
      <c r="D39" s="6" t="n"/>
      <c r="E39" s="6" t="n"/>
      <c r="F39" s="6" t="n"/>
      <c r="G39" s="6" t="n"/>
      <c r="H39" s="6" t="n"/>
      <c r="I39" s="6" t="n"/>
      <c r="J39" s="25">
        <f>IF(INDEX('Dao tao vendor'!$B$2:$B$300,17)="","",INDEX('Dao tao vendor'!$B$2:$B$300,17))</f>
        <v/>
      </c>
      <c r="K39" s="25" t="inlineStr"/>
      <c r="L39" s="34">
        <f>IF(INDEX('Dao tao vendor'!$A$2:$A$300,17)="","",INDEX('Dao tao vendor'!$A$2:$A$300,17))</f>
        <v/>
      </c>
      <c r="M39" s="33" t="n"/>
      <c r="N39" s="33" t="n"/>
      <c r="O39" s="33" t="n"/>
      <c r="P39" s="33" t="n"/>
      <c r="Q39" s="6" t="n"/>
      <c r="R39" s="6" t="n"/>
      <c r="S39" s="6" t="n"/>
      <c r="T39" s="6" t="n"/>
      <c r="U39" s="6" t="n"/>
      <c r="V39" s="6" t="n"/>
      <c r="W39" s="6" t="n"/>
      <c r="X39" s="6" t="n"/>
      <c r="Y39" s="6" t="n"/>
      <c r="Z39" s="6" t="n"/>
    </row>
    <row r="40">
      <c r="A40" s="6" t="n"/>
      <c r="B40" s="6" t="n"/>
      <c r="C40" s="6" t="n"/>
      <c r="D40" s="6" t="n"/>
      <c r="E40" s="6" t="n"/>
      <c r="F40" s="6" t="n"/>
      <c r="G40" s="6" t="n"/>
      <c r="H40" s="6" t="n"/>
      <c r="I40" s="6" t="n"/>
      <c r="J40" s="25">
        <f>IF(INDEX('Dao tao vendor'!$B$2:$B$300,18)="","",INDEX('Dao tao vendor'!$B$2:$B$300,18))</f>
        <v/>
      </c>
      <c r="K40" s="25" t="inlineStr"/>
      <c r="L40" s="34">
        <f>IF(INDEX('Dao tao vendor'!$A$2:$A$300,18)="","",INDEX('Dao tao vendor'!$A$2:$A$300,18))</f>
        <v/>
      </c>
      <c r="M40" s="33" t="n"/>
      <c r="N40" s="33" t="n"/>
      <c r="O40" s="33" t="n"/>
      <c r="P40" s="33" t="n"/>
      <c r="Q40" s="6" t="n"/>
      <c r="R40" s="6" t="n"/>
      <c r="S40" s="6" t="n"/>
      <c r="T40" s="6" t="n"/>
      <c r="U40" s="6" t="n"/>
      <c r="V40" s="6" t="n"/>
      <c r="W40" s="6" t="n"/>
      <c r="X40" s="6" t="n"/>
      <c r="Y40" s="6" t="n"/>
      <c r="Z40" s="6" t="n"/>
    </row>
    <row r="41">
      <c r="A41" s="6" t="n"/>
      <c r="B41" s="6" t="n"/>
      <c r="C41" s="6" t="n"/>
      <c r="D41" s="6" t="n"/>
      <c r="E41" s="6" t="n"/>
      <c r="F41" s="6" t="n"/>
      <c r="G41" s="6" t="n"/>
      <c r="H41" s="6" t="n"/>
      <c r="I41" s="6" t="n"/>
      <c r="J41" s="25">
        <f>IF(INDEX('Dao tao vendor'!$B$2:$B$300,19)="","",INDEX('Dao tao vendor'!$B$2:$B$300,19))</f>
        <v/>
      </c>
      <c r="K41" s="25" t="inlineStr"/>
      <c r="L41" s="34">
        <f>IF(INDEX('Dao tao vendor'!$A$2:$A$300,19)="","",INDEX('Dao tao vendor'!$A$2:$A$300,19))</f>
        <v/>
      </c>
      <c r="M41" s="33" t="n"/>
      <c r="N41" s="33" t="n"/>
      <c r="O41" s="33" t="n"/>
      <c r="P41" s="33" t="n"/>
      <c r="Q41" s="6" t="n"/>
      <c r="R41" s="6" t="n"/>
      <c r="S41" s="6" t="n"/>
      <c r="T41" s="6" t="n"/>
      <c r="U41" s="6" t="n"/>
      <c r="V41" s="6" t="n"/>
      <c r="W41" s="6" t="n"/>
      <c r="X41" s="6" t="n"/>
      <c r="Y41" s="6" t="n"/>
      <c r="Z41" s="6" t="n"/>
    </row>
    <row r="42">
      <c r="A42" s="6" t="n"/>
      <c r="B42" s="6" t="n"/>
      <c r="C42" s="6" t="n"/>
      <c r="D42" s="6" t="n"/>
      <c r="E42" s="6" t="n"/>
      <c r="F42" s="6" t="n"/>
      <c r="G42" s="6" t="n"/>
      <c r="H42" s="6" t="n"/>
      <c r="I42" s="6" t="n"/>
      <c r="J42" s="25">
        <f>IF(INDEX('Dao tao vendor'!$B$2:$B$300,20)="","",INDEX('Dao tao vendor'!$B$2:$B$300,20))</f>
        <v/>
      </c>
      <c r="K42" s="25" t="inlineStr"/>
      <c r="L42" s="34">
        <f>IF(INDEX('Dao tao vendor'!$A$2:$A$300,20)="","",INDEX('Dao tao vendor'!$A$2:$A$300,20))</f>
        <v/>
      </c>
      <c r="M42" s="33" t="n"/>
      <c r="N42" s="33" t="n"/>
      <c r="O42" s="33" t="n"/>
      <c r="P42" s="33" t="n"/>
      <c r="Q42" s="6" t="n"/>
      <c r="R42" s="6" t="n"/>
      <c r="S42" s="6" t="n"/>
      <c r="T42" s="6" t="n"/>
      <c r="U42" s="6" t="n"/>
      <c r="V42" s="6" t="n"/>
      <c r="W42" s="6" t="n"/>
      <c r="X42" s="6" t="n"/>
      <c r="Y42" s="6" t="n"/>
      <c r="Z42" s="6" t="n"/>
    </row>
    <row r="43">
      <c r="A43" s="6" t="n"/>
      <c r="B43" s="6" t="n"/>
      <c r="C43" s="6" t="n"/>
      <c r="D43" s="6" t="n"/>
      <c r="E43" s="6" t="n"/>
      <c r="F43" s="6" t="n"/>
      <c r="G43" s="6" t="n"/>
      <c r="H43" s="6" t="n"/>
      <c r="I43" s="6" t="n"/>
      <c r="J43" s="25">
        <f>IF(INDEX('Dao tao vendor'!$B$2:$B$300,21)="","",INDEX('Dao tao vendor'!$B$2:$B$300,21))</f>
        <v/>
      </c>
      <c r="K43" s="25" t="inlineStr"/>
      <c r="L43" s="34">
        <f>IF(INDEX('Dao tao vendor'!$A$2:$A$300,21)="","",INDEX('Dao tao vendor'!$A$2:$A$300,21))</f>
        <v/>
      </c>
      <c r="M43" s="33" t="n"/>
      <c r="N43" s="33" t="n"/>
      <c r="O43" s="33" t="n"/>
      <c r="P43" s="33" t="n"/>
      <c r="Q43" s="6" t="n"/>
      <c r="R43" s="6" t="n"/>
      <c r="S43" s="6" t="n"/>
      <c r="T43" s="6" t="n"/>
      <c r="U43" s="6" t="n"/>
      <c r="V43" s="6" t="n"/>
      <c r="W43" s="6" t="n"/>
      <c r="X43" s="6" t="n"/>
      <c r="Y43" s="6" t="n"/>
      <c r="Z43" s="6" t="n"/>
    </row>
    <row r="44">
      <c r="A44" s="6" t="n"/>
      <c r="B44" s="6" t="n"/>
      <c r="C44" s="6" t="n"/>
      <c r="D44" s="6" t="n"/>
      <c r="E44" s="6" t="n"/>
      <c r="F44" s="6" t="n"/>
      <c r="G44" s="6" t="n"/>
      <c r="H44" s="6" t="n"/>
      <c r="I44" s="6" t="n"/>
      <c r="J44" s="25">
        <f>IF(INDEX('Dao tao vendor'!$B$2:$B$300,22)="","",INDEX('Dao tao vendor'!$B$2:$B$300,22))</f>
        <v/>
      </c>
      <c r="K44" s="25" t="inlineStr"/>
      <c r="L44" s="34">
        <f>IF(INDEX('Dao tao vendor'!$A$2:$A$300,22)="","",INDEX('Dao tao vendor'!$A$2:$A$300,22))</f>
        <v/>
      </c>
      <c r="M44" s="33" t="n"/>
      <c r="N44" s="33" t="n"/>
      <c r="O44" s="33" t="n"/>
      <c r="P44" s="33" t="n"/>
      <c r="Q44" s="6" t="n"/>
      <c r="R44" s="6" t="n"/>
      <c r="S44" s="6" t="n"/>
      <c r="T44" s="6" t="n"/>
      <c r="U44" s="6" t="n"/>
      <c r="V44" s="6" t="n"/>
      <c r="W44" s="6" t="n"/>
      <c r="X44" s="6" t="n"/>
      <c r="Y44" s="6" t="n"/>
      <c r="Z44" s="6" t="n"/>
    </row>
    <row r="45">
      <c r="A45" s="6" t="n"/>
      <c r="B45" s="6" t="n"/>
      <c r="C45" s="6" t="n"/>
      <c r="D45" s="6" t="n"/>
      <c r="E45" s="6" t="n"/>
      <c r="F45" s="6" t="n"/>
      <c r="G45" s="6" t="n"/>
      <c r="H45" s="6" t="n"/>
      <c r="I45" s="6" t="n"/>
      <c r="J45" s="25">
        <f>IF(INDEX('Dao tao vendor'!$B$2:$B$300,23)="","",INDEX('Dao tao vendor'!$B$2:$B$300,23))</f>
        <v/>
      </c>
      <c r="K45" s="25" t="inlineStr"/>
      <c r="L45" s="34">
        <f>IF(INDEX('Dao tao vendor'!$A$2:$A$300,23)="","",INDEX('Dao tao vendor'!$A$2:$A$300,23))</f>
        <v/>
      </c>
      <c r="M45" s="33" t="n"/>
      <c r="N45" s="33" t="n"/>
      <c r="O45" s="33" t="n"/>
      <c r="P45" s="33" t="n"/>
      <c r="Q45" s="6" t="n"/>
      <c r="R45" s="6" t="n"/>
      <c r="S45" s="6" t="n"/>
      <c r="T45" s="6" t="n"/>
      <c r="U45" s="6" t="n"/>
      <c r="V45" s="6" t="n"/>
      <c r="W45" s="6" t="n"/>
      <c r="X45" s="6" t="n"/>
      <c r="Y45" s="6" t="n"/>
      <c r="Z45" s="6" t="n"/>
    </row>
    <row r="46">
      <c r="A46" s="6" t="n"/>
      <c r="B46" s="6" t="n"/>
      <c r="C46" s="6" t="n"/>
      <c r="D46" s="6" t="n"/>
      <c r="E46" s="6" t="n"/>
      <c r="F46" s="6" t="n"/>
      <c r="G46" s="6" t="n"/>
      <c r="H46" s="6" t="n"/>
      <c r="I46" s="6" t="n"/>
      <c r="J46" s="25">
        <f>IF(INDEX('Dao tao vendor'!$B$2:$B$300,24)="","",INDEX('Dao tao vendor'!$B$2:$B$300,24))</f>
        <v/>
      </c>
      <c r="K46" s="25" t="inlineStr"/>
      <c r="L46" s="34">
        <f>IF(INDEX('Dao tao vendor'!$A$2:$A$300,24)="","",INDEX('Dao tao vendor'!$A$2:$A$300,24))</f>
        <v/>
      </c>
      <c r="M46" s="33" t="n"/>
      <c r="N46" s="33" t="n"/>
      <c r="O46" s="33" t="n"/>
      <c r="P46" s="33" t="n"/>
      <c r="Q46" s="6" t="n"/>
      <c r="R46" s="6" t="n"/>
      <c r="S46" s="6" t="n"/>
      <c r="T46" s="6" t="n"/>
      <c r="U46" s="6" t="n"/>
      <c r="V46" s="6" t="n"/>
      <c r="W46" s="6" t="n"/>
      <c r="X46" s="6" t="n"/>
      <c r="Y46" s="6" t="n"/>
      <c r="Z46" s="6" t="n"/>
    </row>
    <row r="47">
      <c r="A47" s="6" t="n"/>
      <c r="B47" s="6" t="n"/>
      <c r="C47" s="6" t="n"/>
      <c r="D47" s="6" t="n"/>
      <c r="E47" s="6" t="n"/>
      <c r="F47" s="6" t="n"/>
      <c r="G47" s="6" t="n"/>
      <c r="H47" s="6" t="n"/>
      <c r="I47" s="6" t="n"/>
      <c r="J47" s="25">
        <f>IF(INDEX('Dao tao vendor'!$B$2:$B$300,25)="","",INDEX('Dao tao vendor'!$B$2:$B$300,25))</f>
        <v/>
      </c>
      <c r="K47" s="25" t="inlineStr"/>
      <c r="L47" s="34">
        <f>IF(INDEX('Dao tao vendor'!$A$2:$A$300,25)="","",INDEX('Dao tao vendor'!$A$2:$A$300,25))</f>
        <v/>
      </c>
      <c r="M47" s="33" t="n"/>
      <c r="N47" s="33" t="n"/>
      <c r="O47" s="33" t="n"/>
      <c r="P47" s="33" t="n"/>
      <c r="Q47" s="6" t="n"/>
      <c r="R47" s="6" t="n"/>
      <c r="S47" s="6" t="n"/>
      <c r="T47" s="6" t="n"/>
      <c r="U47" s="6" t="n"/>
      <c r="V47" s="6" t="n"/>
      <c r="W47" s="6" t="n"/>
      <c r="X47" s="6" t="n"/>
      <c r="Y47" s="6" t="n"/>
      <c r="Z47" s="6" t="n"/>
    </row>
    <row r="48">
      <c r="A48" s="6" t="n"/>
      <c r="B48" s="6" t="n"/>
      <c r="C48" s="6" t="n"/>
      <c r="D48" s="6" t="n"/>
      <c r="E48" s="6" t="n"/>
      <c r="F48" s="6" t="n"/>
      <c r="G48" s="6" t="n"/>
      <c r="H48" s="6" t="n"/>
      <c r="I48" s="6" t="n"/>
      <c r="J48" s="25">
        <f>IF(INDEX('Dao tao vendor'!$B$2:$B$300,26)="","",INDEX('Dao tao vendor'!$B$2:$B$300,26))</f>
        <v/>
      </c>
      <c r="K48" s="25" t="inlineStr"/>
      <c r="L48" s="34">
        <f>IF(INDEX('Dao tao vendor'!$A$2:$A$300,26)="","",INDEX('Dao tao vendor'!$A$2:$A$300,26))</f>
        <v/>
      </c>
      <c r="M48" s="33" t="n"/>
      <c r="N48" s="33" t="n"/>
      <c r="O48" s="33" t="n"/>
      <c r="P48" s="33" t="n"/>
      <c r="Q48" s="6" t="n"/>
      <c r="R48" s="6" t="n"/>
      <c r="S48" s="6" t="n"/>
      <c r="T48" s="6" t="n"/>
      <c r="U48" s="6" t="n"/>
      <c r="V48" s="6" t="n"/>
      <c r="W48" s="6" t="n"/>
      <c r="X48" s="6" t="n"/>
      <c r="Y48" s="6" t="n"/>
      <c r="Z48" s="6" t="n"/>
    </row>
    <row r="49">
      <c r="A49" s="6" t="n"/>
      <c r="B49" s="6" t="n"/>
      <c r="C49" s="6" t="n"/>
      <c r="D49" s="6" t="n"/>
      <c r="E49" s="6" t="n"/>
      <c r="F49" s="6" t="n"/>
      <c r="G49" s="6" t="n"/>
      <c r="H49" s="6" t="n"/>
      <c r="I49" s="6" t="n"/>
      <c r="J49" s="25">
        <f>IF(INDEX('Dao tao vendor'!$B$2:$B$300,27)="","",INDEX('Dao tao vendor'!$B$2:$B$300,27))</f>
        <v/>
      </c>
      <c r="K49" s="25" t="inlineStr"/>
      <c r="L49" s="34">
        <f>IF(INDEX('Dao tao vendor'!$A$2:$A$300,27)="","",INDEX('Dao tao vendor'!$A$2:$A$300,27))</f>
        <v/>
      </c>
      <c r="M49" s="33" t="n"/>
      <c r="N49" s="33" t="n"/>
      <c r="O49" s="33" t="n"/>
      <c r="P49" s="33" t="n"/>
      <c r="Q49" s="6" t="n"/>
      <c r="R49" s="6" t="n"/>
      <c r="S49" s="6" t="n"/>
      <c r="T49" s="6" t="n"/>
      <c r="U49" s="6" t="n"/>
      <c r="V49" s="6" t="n"/>
      <c r="W49" s="6" t="n"/>
      <c r="X49" s="6" t="n"/>
      <c r="Y49" s="6" t="n"/>
      <c r="Z49" s="6" t="n"/>
    </row>
    <row r="50">
      <c r="A50" s="6" t="n"/>
      <c r="B50" s="6" t="n"/>
      <c r="C50" s="6" t="n"/>
      <c r="D50" s="6" t="n"/>
      <c r="E50" s="6" t="n"/>
      <c r="F50" s="6" t="n"/>
      <c r="G50" s="6" t="n"/>
      <c r="H50" s="6" t="n"/>
      <c r="I50" s="6" t="n"/>
      <c r="J50" s="25">
        <f>IF(INDEX('Dao tao vendor'!$B$2:$B$300,28)="","",INDEX('Dao tao vendor'!$B$2:$B$300,28))</f>
        <v/>
      </c>
      <c r="K50" s="25" t="inlineStr"/>
      <c r="L50" s="34">
        <f>IF(INDEX('Dao tao vendor'!$A$2:$A$300,28)="","",INDEX('Dao tao vendor'!$A$2:$A$300,28))</f>
        <v/>
      </c>
      <c r="M50" s="33" t="n"/>
      <c r="N50" s="33" t="n"/>
      <c r="O50" s="33" t="n"/>
      <c r="P50" s="33" t="n"/>
      <c r="Q50" s="6" t="n"/>
      <c r="R50" s="6" t="n"/>
      <c r="S50" s="6" t="n"/>
      <c r="T50" s="6" t="n"/>
      <c r="U50" s="6" t="n"/>
      <c r="V50" s="6" t="n"/>
      <c r="W50" s="6" t="n"/>
      <c r="X50" s="6" t="n"/>
      <c r="Y50" s="6" t="n"/>
      <c r="Z50" s="6" t="n"/>
    </row>
    <row r="51">
      <c r="A51" s="6" t="n"/>
      <c r="B51" s="6" t="n"/>
      <c r="C51" s="6" t="n"/>
      <c r="D51" s="6" t="n"/>
      <c r="E51" s="6" t="n"/>
      <c r="F51" s="6" t="n"/>
      <c r="G51" s="6" t="n"/>
      <c r="H51" s="6" t="n"/>
      <c r="I51" s="6" t="n"/>
      <c r="J51" s="25">
        <f>IF(INDEX('Dao tao vendor'!$B$2:$B$300,29)="","",INDEX('Dao tao vendor'!$B$2:$B$300,29))</f>
        <v/>
      </c>
      <c r="K51" s="25" t="inlineStr"/>
      <c r="L51" s="34">
        <f>IF(INDEX('Dao tao vendor'!$A$2:$A$300,29)="","",INDEX('Dao tao vendor'!$A$2:$A$300,29))</f>
        <v/>
      </c>
      <c r="M51" s="33" t="n"/>
      <c r="N51" s="33" t="n"/>
      <c r="O51" s="33" t="n"/>
      <c r="P51" s="33" t="n"/>
      <c r="Q51" s="6" t="n"/>
      <c r="R51" s="6" t="n"/>
      <c r="S51" s="6" t="n"/>
      <c r="T51" s="6" t="n"/>
      <c r="U51" s="6" t="n"/>
      <c r="V51" s="6" t="n"/>
      <c r="W51" s="6" t="n"/>
      <c r="X51" s="6" t="n"/>
      <c r="Y51" s="6" t="n"/>
      <c r="Z51" s="6" t="n"/>
    </row>
    <row r="52">
      <c r="A52" s="6" t="n"/>
      <c r="B52" s="6" t="n"/>
      <c r="C52" s="6" t="n"/>
      <c r="D52" s="6" t="n"/>
      <c r="E52" s="6" t="n"/>
      <c r="F52" s="6" t="n"/>
      <c r="G52" s="6" t="n"/>
      <c r="H52" s="6" t="n"/>
      <c r="I52" s="6" t="n"/>
      <c r="J52" s="25">
        <f>IF(INDEX('Dao tao vendor'!$B$2:$B$300,30)="","",INDEX('Dao tao vendor'!$B$2:$B$300,30))</f>
        <v/>
      </c>
      <c r="K52" s="25" t="inlineStr"/>
      <c r="L52" s="34">
        <f>IF(INDEX('Dao tao vendor'!$A$2:$A$300,30)="","",INDEX('Dao tao vendor'!$A$2:$A$300,30))</f>
        <v/>
      </c>
      <c r="M52" s="33" t="n"/>
      <c r="N52" s="33" t="n"/>
      <c r="O52" s="33" t="n"/>
      <c r="P52" s="33" t="n"/>
      <c r="Q52" s="6" t="n"/>
      <c r="R52" s="6" t="n"/>
      <c r="S52" s="6" t="n"/>
      <c r="T52" s="6" t="n"/>
      <c r="U52" s="6" t="n"/>
      <c r="V52" s="6" t="n"/>
      <c r="W52" s="6" t="n"/>
      <c r="X52" s="6" t="n"/>
      <c r="Y52" s="6" t="n"/>
      <c r="Z52" s="6" t="n"/>
    </row>
    <row r="53">
      <c r="A53" s="6" t="n"/>
      <c r="B53" s="6" t="n"/>
      <c r="C53" s="6" t="n"/>
      <c r="D53" s="6" t="n"/>
      <c r="E53" s="6" t="n"/>
      <c r="F53" s="6" t="n"/>
      <c r="G53" s="6" t="n"/>
      <c r="H53" s="6" t="n"/>
      <c r="I53" s="6" t="n"/>
      <c r="J53" s="6" t="n"/>
      <c r="K53" s="6" t="n"/>
      <c r="L53" s="6" t="n"/>
      <c r="M53" s="6" t="n"/>
      <c r="N53" s="6" t="n"/>
      <c r="O53" s="6" t="n"/>
      <c r="P53" s="6" t="n"/>
      <c r="Q53" s="6" t="n"/>
      <c r="R53" s="6" t="n"/>
      <c r="S53" s="6" t="n"/>
      <c r="T53" s="6" t="n"/>
      <c r="U53" s="6" t="n"/>
      <c r="V53" s="6" t="n"/>
      <c r="W53" s="6" t="n"/>
      <c r="X53" s="6" t="n"/>
      <c r="Y53" s="6" t="n"/>
      <c r="Z53" s="6" t="n"/>
    </row>
    <row r="54">
      <c r="A54" s="6" t="n"/>
      <c r="B54" s="6" t="n"/>
      <c r="C54" s="6" t="n"/>
      <c r="D54" s="6" t="n"/>
      <c r="E54" s="6" t="n"/>
      <c r="F54" s="6" t="n"/>
      <c r="G54" s="6" t="n"/>
      <c r="H54" s="6" t="n"/>
      <c r="I54" s="6" t="n"/>
      <c r="J54" s="6" t="n"/>
      <c r="K54" s="6" t="n"/>
      <c r="L54" s="6" t="n"/>
      <c r="M54" s="6" t="n"/>
      <c r="N54" s="6" t="n"/>
      <c r="O54" s="6" t="n"/>
      <c r="P54" s="6" t="n"/>
      <c r="Q54" s="6" t="n"/>
      <c r="R54" s="6" t="n"/>
      <c r="S54" s="6" t="n"/>
      <c r="T54" s="6" t="n"/>
      <c r="U54" s="6" t="n"/>
      <c r="V54" s="6" t="n"/>
      <c r="W54" s="6" t="n"/>
      <c r="X54" s="6" t="n"/>
      <c r="Y54" s="6" t="n"/>
      <c r="Z54" s="6" t="n"/>
    </row>
    <row r="55">
      <c r="A55" s="6" t="n"/>
      <c r="B55" s="6" t="n"/>
      <c r="C55" s="6" t="n"/>
      <c r="D55" s="6" t="n"/>
      <c r="E55" s="6" t="n"/>
      <c r="F55" s="6" t="n"/>
      <c r="G55" s="6" t="n"/>
      <c r="H55" s="6" t="n"/>
      <c r="I55" s="6" t="n"/>
      <c r="J55" s="6" t="n"/>
      <c r="K55" s="6" t="n"/>
      <c r="L55" s="6" t="n"/>
      <c r="M55" s="6" t="n"/>
      <c r="N55" s="6" t="n"/>
      <c r="O55" s="6" t="n"/>
      <c r="P55" s="6" t="n"/>
      <c r="Q55" s="6" t="n"/>
      <c r="R55" s="6" t="n"/>
      <c r="S55" s="6" t="n"/>
      <c r="T55" s="6" t="n"/>
      <c r="U55" s="6" t="n"/>
      <c r="V55" s="6" t="n"/>
      <c r="W55" s="6" t="n"/>
      <c r="X55" s="6" t="n"/>
      <c r="Y55" s="6" t="n"/>
      <c r="Z55" s="6" t="n"/>
    </row>
    <row r="56">
      <c r="A56" s="6" t="n"/>
      <c r="B56" s="6" t="n"/>
      <c r="C56" s="6" t="n"/>
      <c r="D56" s="6" t="n"/>
      <c r="E56" s="6" t="n"/>
      <c r="F56" s="6" t="n"/>
      <c r="G56" s="6" t="n"/>
      <c r="H56" s="6" t="n"/>
      <c r="I56" s="6" t="n"/>
      <c r="J56" s="6" t="n"/>
      <c r="K56" s="6" t="n"/>
      <c r="L56" s="6" t="n"/>
      <c r="M56" s="6" t="n"/>
      <c r="N56" s="6" t="n"/>
      <c r="O56" s="6" t="n"/>
      <c r="P56" s="6" t="n"/>
      <c r="Q56" s="6" t="n"/>
      <c r="R56" s="6" t="n"/>
      <c r="S56" s="6" t="n"/>
      <c r="T56" s="6" t="n"/>
      <c r="U56" s="6" t="n"/>
      <c r="V56" s="6" t="n"/>
      <c r="W56" s="6" t="n"/>
      <c r="X56" s="6" t="n"/>
      <c r="Y56" s="6" t="n"/>
      <c r="Z56" s="6" t="n"/>
    </row>
    <row r="57">
      <c r="A57" s="6" t="n"/>
      <c r="B57" s="6" t="n"/>
      <c r="C57" s="6" t="n"/>
      <c r="D57" s="6" t="n"/>
      <c r="E57" s="6" t="n"/>
      <c r="F57" s="6" t="n"/>
      <c r="G57" s="6" t="n"/>
      <c r="H57" s="6" t="n"/>
      <c r="I57" s="6" t="n"/>
      <c r="J57" s="6" t="n"/>
      <c r="K57" s="6" t="n"/>
      <c r="L57" s="6" t="n"/>
      <c r="M57" s="6" t="n"/>
      <c r="N57" s="6" t="n"/>
      <c r="O57" s="6" t="n"/>
      <c r="P57" s="6" t="n"/>
      <c r="Q57" s="6" t="n"/>
      <c r="R57" s="6" t="n"/>
      <c r="S57" s="6" t="n"/>
      <c r="T57" s="6" t="n"/>
      <c r="U57" s="6" t="n"/>
      <c r="V57" s="6" t="n"/>
      <c r="W57" s="6" t="n"/>
      <c r="X57" s="6" t="n"/>
      <c r="Y57" s="6" t="n"/>
      <c r="Z57" s="6" t="n"/>
    </row>
    <row r="58">
      <c r="A58" s="6" t="n"/>
      <c r="B58" s="6" t="n"/>
      <c r="C58" s="6" t="n"/>
      <c r="D58" s="6" t="n"/>
      <c r="E58" s="6" t="n"/>
      <c r="F58" s="6" t="n"/>
      <c r="G58" s="6" t="n"/>
      <c r="H58" s="6" t="n"/>
      <c r="I58" s="6" t="n"/>
      <c r="J58" s="6" t="n"/>
      <c r="K58" s="6" t="n"/>
      <c r="L58" s="6" t="n"/>
      <c r="M58" s="6" t="n"/>
      <c r="N58" s="6" t="n"/>
      <c r="O58" s="6" t="n"/>
      <c r="P58" s="6" t="n"/>
      <c r="Q58" s="6" t="n"/>
      <c r="R58" s="6" t="n"/>
      <c r="S58" s="6" t="n"/>
      <c r="T58" s="6" t="n"/>
      <c r="U58" s="6" t="n"/>
      <c r="V58" s="6" t="n"/>
      <c r="W58" s="6" t="n"/>
      <c r="X58" s="6" t="n"/>
      <c r="Y58" s="6" t="n"/>
      <c r="Z58" s="6" t="n"/>
    </row>
    <row r="59">
      <c r="A59" s="6" t="n"/>
      <c r="B59" s="6" t="n"/>
      <c r="C59" s="6" t="n"/>
      <c r="D59" s="6" t="n"/>
      <c r="E59" s="6" t="n"/>
      <c r="F59" s="6" t="n"/>
      <c r="G59" s="6" t="n"/>
      <c r="H59" s="6" t="n"/>
      <c r="I59" s="6" t="n"/>
      <c r="J59" s="6" t="n"/>
      <c r="K59" s="6" t="n"/>
      <c r="L59" s="6" t="n"/>
      <c r="M59" s="6" t="n"/>
      <c r="N59" s="6" t="n"/>
      <c r="O59" s="6" t="n"/>
      <c r="P59" s="6" t="n"/>
      <c r="Q59" s="6" t="n"/>
      <c r="R59" s="6" t="n"/>
      <c r="S59" s="6" t="n"/>
      <c r="T59" s="6" t="n"/>
      <c r="U59" s="6" t="n"/>
      <c r="V59" s="6" t="n"/>
      <c r="W59" s="6" t="n"/>
      <c r="X59" s="6" t="n"/>
      <c r="Y59" s="6" t="n"/>
      <c r="Z59" s="6" t="n"/>
    </row>
    <row r="60">
      <c r="A60" s="6" t="n"/>
      <c r="B60" s="6" t="n"/>
      <c r="C60" s="6" t="n"/>
      <c r="D60" s="6" t="n"/>
      <c r="E60" s="6" t="n"/>
      <c r="F60" s="6" t="n"/>
      <c r="G60" s="6" t="n"/>
      <c r="H60" s="6" t="n"/>
      <c r="I60" s="6" t="n"/>
      <c r="J60" s="6" t="n"/>
      <c r="K60" s="6" t="n"/>
      <c r="L60" s="6" t="n"/>
      <c r="M60" s="6" t="n"/>
      <c r="N60" s="6" t="n"/>
      <c r="O60" s="6" t="n"/>
      <c r="P60" s="6" t="n"/>
      <c r="Q60" s="6" t="n"/>
      <c r="R60" s="6" t="n"/>
      <c r="S60" s="6" t="n"/>
      <c r="T60" s="6" t="n"/>
      <c r="U60" s="6" t="n"/>
      <c r="V60" s="6" t="n"/>
      <c r="W60" s="6" t="n"/>
      <c r="X60" s="6" t="n"/>
      <c r="Y60" s="6" t="n"/>
      <c r="Z60" s="6" t="n"/>
    </row>
    <row r="61">
      <c r="A61" s="6" t="n"/>
      <c r="B61" s="6" t="n"/>
      <c r="C61" s="6" t="n"/>
      <c r="D61" s="6" t="n"/>
      <c r="E61" s="6" t="n"/>
      <c r="F61" s="6" t="n"/>
      <c r="G61" s="6" t="n"/>
      <c r="H61" s="6" t="n"/>
      <c r="I61" s="6" t="n"/>
      <c r="J61" s="6" t="n"/>
      <c r="K61" s="6" t="n"/>
      <c r="L61" s="6" t="n"/>
      <c r="M61" s="6" t="n"/>
      <c r="N61" s="6" t="n"/>
      <c r="O61" s="6" t="n"/>
      <c r="P61" s="6" t="n"/>
      <c r="Q61" s="6" t="n"/>
      <c r="R61" s="6" t="n"/>
      <c r="S61" s="6" t="n"/>
      <c r="T61" s="6" t="n"/>
      <c r="U61" s="6" t="n"/>
      <c r="V61" s="6" t="n"/>
      <c r="W61" s="6" t="n"/>
      <c r="X61" s="6" t="n"/>
      <c r="Y61" s="6" t="n"/>
      <c r="Z61" s="6" t="n"/>
    </row>
    <row r="62">
      <c r="A62" s="6" t="n"/>
      <c r="B62" s="6" t="n"/>
      <c r="C62" s="6" t="n"/>
      <c r="D62" s="6" t="n"/>
      <c r="E62" s="6" t="n"/>
      <c r="F62" s="6" t="n"/>
      <c r="G62" s="6" t="n"/>
      <c r="H62" s="6" t="n"/>
      <c r="I62" s="6" t="n"/>
      <c r="J62" s="6" t="n"/>
      <c r="K62" s="6" t="n"/>
      <c r="L62" s="6" t="n"/>
      <c r="M62" s="6" t="n"/>
      <c r="N62" s="6" t="n"/>
      <c r="O62" s="6" t="n"/>
      <c r="P62" s="6" t="n"/>
      <c r="Q62" s="6" t="n"/>
      <c r="R62" s="6" t="n"/>
      <c r="S62" s="6" t="n"/>
      <c r="T62" s="6" t="n"/>
      <c r="U62" s="6" t="n"/>
      <c r="V62" s="6" t="n"/>
      <c r="W62" s="6" t="n"/>
      <c r="X62" s="6" t="n"/>
      <c r="Y62" s="6" t="n"/>
      <c r="Z62" s="6" t="n"/>
    </row>
    <row r="63">
      <c r="A63" s="6" t="n"/>
      <c r="B63" s="6" t="n"/>
      <c r="C63" s="6" t="n"/>
      <c r="D63" s="6" t="n"/>
      <c r="E63" s="6" t="n"/>
      <c r="F63" s="6" t="n"/>
      <c r="G63" s="6" t="n"/>
      <c r="H63" s="6" t="n"/>
      <c r="I63" s="6" t="n"/>
      <c r="J63" s="6" t="n"/>
      <c r="K63" s="6" t="n"/>
      <c r="L63" s="6" t="n"/>
      <c r="M63" s="6" t="n"/>
      <c r="N63" s="6" t="n"/>
      <c r="O63" s="6" t="n"/>
      <c r="P63" s="6" t="n"/>
      <c r="Q63" s="6" t="n"/>
      <c r="R63" s="6" t="n"/>
      <c r="S63" s="6" t="n"/>
      <c r="T63" s="6" t="n"/>
      <c r="U63" s="6" t="n"/>
      <c r="V63" s="6" t="n"/>
      <c r="W63" s="6" t="n"/>
      <c r="X63" s="6" t="n"/>
      <c r="Y63" s="6" t="n"/>
      <c r="Z63" s="6" t="n"/>
    </row>
    <row r="64">
      <c r="A64" s="6" t="n"/>
      <c r="B64" s="6" t="n"/>
      <c r="C64" s="6" t="n"/>
      <c r="D64" s="6" t="n"/>
      <c r="E64" s="6" t="n"/>
      <c r="F64" s="6" t="n"/>
      <c r="G64" s="6" t="n"/>
      <c r="H64" s="6" t="n"/>
      <c r="I64" s="6" t="n"/>
      <c r="J64" s="6" t="n"/>
      <c r="K64" s="6" t="n"/>
      <c r="L64" s="6" t="n"/>
      <c r="M64" s="6" t="n"/>
      <c r="N64" s="6" t="n"/>
      <c r="O64" s="6" t="n"/>
      <c r="P64" s="6" t="n"/>
      <c r="Q64" s="6" t="n"/>
      <c r="R64" s="6" t="n"/>
      <c r="S64" s="6" t="n"/>
      <c r="T64" s="6" t="n"/>
      <c r="U64" s="6" t="n"/>
      <c r="V64" s="6" t="n"/>
      <c r="W64" s="6" t="n"/>
      <c r="X64" s="6" t="n"/>
      <c r="Y64" s="6" t="n"/>
      <c r="Z64" s="6" t="n"/>
    </row>
    <row r="65">
      <c r="A65" s="6" t="n"/>
      <c r="B65" s="6" t="n"/>
      <c r="C65" s="6" t="n"/>
      <c r="D65" s="6" t="n"/>
      <c r="E65" s="6" t="n"/>
      <c r="F65" s="6" t="n"/>
      <c r="G65" s="6" t="n"/>
      <c r="H65" s="6" t="n"/>
      <c r="I65" s="6" t="n"/>
      <c r="J65" s="6" t="n"/>
      <c r="K65" s="6" t="n"/>
      <c r="L65" s="6" t="n"/>
      <c r="M65" s="6" t="n"/>
      <c r="N65" s="6" t="n"/>
      <c r="O65" s="6" t="n"/>
      <c r="P65" s="6" t="n"/>
      <c r="Q65" s="6" t="n"/>
      <c r="R65" s="6" t="n"/>
      <c r="S65" s="6" t="n"/>
      <c r="T65" s="6" t="n"/>
      <c r="U65" s="6" t="n"/>
      <c r="V65" s="6" t="n"/>
      <c r="W65" s="6" t="n"/>
      <c r="X65" s="6" t="n"/>
      <c r="Y65" s="6" t="n"/>
      <c r="Z65" s="6" t="n"/>
    </row>
    <row r="66">
      <c r="A66" s="6" t="n"/>
      <c r="B66" s="6" t="n"/>
      <c r="C66" s="6" t="n"/>
      <c r="D66" s="6" t="n"/>
      <c r="E66" s="6" t="n"/>
      <c r="F66" s="6" t="n"/>
      <c r="G66" s="6" t="n"/>
      <c r="H66" s="6" t="n"/>
      <c r="I66" s="6" t="n"/>
      <c r="J66" s="6" t="n"/>
      <c r="K66" s="6" t="n"/>
      <c r="L66" s="6" t="n"/>
      <c r="M66" s="6" t="n"/>
      <c r="N66" s="6" t="n"/>
      <c r="O66" s="6" t="n"/>
      <c r="P66" s="6" t="n"/>
      <c r="Q66" s="6" t="n"/>
      <c r="R66" s="6" t="n"/>
      <c r="S66" s="6" t="n"/>
      <c r="T66" s="6" t="n"/>
      <c r="U66" s="6" t="n"/>
      <c r="V66" s="6" t="n"/>
      <c r="W66" s="6" t="n"/>
      <c r="X66" s="6" t="n"/>
      <c r="Y66" s="6" t="n"/>
      <c r="Z66" s="6" t="n"/>
    </row>
    <row r="67">
      <c r="A67" s="6" t="n"/>
      <c r="B67" s="6" t="n"/>
      <c r="C67" s="6" t="n"/>
      <c r="D67" s="6" t="n"/>
      <c r="E67" s="6" t="n"/>
      <c r="F67" s="6" t="n"/>
      <c r="G67" s="6" t="n"/>
      <c r="H67" s="6" t="n"/>
      <c r="I67" s="6" t="n"/>
      <c r="J67" s="6" t="n"/>
      <c r="K67" s="6" t="n"/>
      <c r="L67" s="6" t="n"/>
      <c r="M67" s="6" t="n"/>
      <c r="N67" s="6" t="n"/>
      <c r="O67" s="6" t="n"/>
      <c r="P67" s="6" t="n"/>
      <c r="Q67" s="6" t="n"/>
      <c r="R67" s="6" t="n"/>
      <c r="S67" s="6" t="n"/>
      <c r="T67" s="6" t="n"/>
      <c r="U67" s="6" t="n"/>
      <c r="V67" s="6" t="n"/>
      <c r="W67" s="6" t="n"/>
      <c r="X67" s="6" t="n"/>
      <c r="Y67" s="6" t="n"/>
      <c r="Z67" s="6" t="n"/>
    </row>
    <row r="68">
      <c r="A68" s="6" t="n"/>
      <c r="B68" s="6" t="n"/>
      <c r="C68" s="6" t="n"/>
      <c r="D68" s="6" t="n"/>
      <c r="E68" s="6" t="n"/>
      <c r="F68" s="6" t="n"/>
      <c r="G68" s="6" t="n"/>
      <c r="H68" s="6" t="n"/>
      <c r="I68" s="6" t="n"/>
      <c r="J68" s="6" t="n"/>
      <c r="K68" s="6" t="n"/>
      <c r="L68" s="6" t="n"/>
      <c r="M68" s="6" t="n"/>
      <c r="N68" s="6" t="n"/>
      <c r="O68" s="6" t="n"/>
      <c r="P68" s="6" t="n"/>
      <c r="Q68" s="6" t="n"/>
      <c r="R68" s="6" t="n"/>
      <c r="S68" s="6" t="n"/>
      <c r="T68" s="6" t="n"/>
      <c r="U68" s="6" t="n"/>
      <c r="V68" s="6" t="n"/>
      <c r="W68" s="6" t="n"/>
      <c r="X68" s="6" t="n"/>
      <c r="Y68" s="6" t="n"/>
      <c r="Z68" s="6" t="n"/>
    </row>
    <row r="69">
      <c r="A69" s="6" t="n"/>
      <c r="B69" s="6" t="n"/>
      <c r="C69" s="6" t="n"/>
      <c r="D69" s="6" t="n"/>
      <c r="E69" s="6" t="n"/>
      <c r="F69" s="6" t="n"/>
      <c r="G69" s="6" t="n"/>
      <c r="H69" s="6" t="n"/>
      <c r="I69" s="6" t="n"/>
      <c r="J69" s="6" t="n"/>
      <c r="K69" s="6" t="n"/>
      <c r="L69" s="6" t="n"/>
      <c r="M69" s="6" t="n"/>
      <c r="N69" s="6" t="n"/>
      <c r="O69" s="6" t="n"/>
      <c r="P69" s="6" t="n"/>
      <c r="Q69" s="6" t="n"/>
      <c r="R69" s="6" t="n"/>
      <c r="S69" s="6" t="n"/>
      <c r="T69" s="6" t="n"/>
      <c r="U69" s="6" t="n"/>
      <c r="V69" s="6" t="n"/>
      <c r="W69" s="6" t="n"/>
      <c r="X69" s="6" t="n"/>
      <c r="Y69" s="6" t="n"/>
      <c r="Z69" s="6" t="n"/>
    </row>
    <row r="70">
      <c r="A70" s="6" t="n"/>
      <c r="B70" s="6" t="n"/>
      <c r="C70" s="6" t="n"/>
      <c r="D70" s="6" t="n"/>
      <c r="E70" s="6" t="n"/>
      <c r="F70" s="6" t="n"/>
      <c r="G70" s="6" t="n"/>
      <c r="H70" s="6" t="n"/>
      <c r="I70" s="6" t="n"/>
      <c r="J70" s="6" t="n"/>
      <c r="K70" s="6" t="n"/>
      <c r="L70" s="6" t="n"/>
      <c r="M70" s="6" t="n"/>
      <c r="N70" s="6" t="n"/>
      <c r="O70" s="6" t="n"/>
      <c r="P70" s="6" t="n"/>
      <c r="Q70" s="6" t="n"/>
      <c r="R70" s="6" t="n"/>
      <c r="S70" s="6" t="n"/>
      <c r="T70" s="6" t="n"/>
      <c r="U70" s="6" t="n"/>
      <c r="V70" s="6" t="n"/>
      <c r="W70" s="6" t="n"/>
      <c r="X70" s="6" t="n"/>
      <c r="Y70" s="6" t="n"/>
      <c r="Z70" s="6" t="n"/>
    </row>
    <row r="71">
      <c r="A71" s="6" t="n"/>
      <c r="B71" s="6" t="n"/>
      <c r="C71" s="6" t="n"/>
      <c r="D71" s="6" t="n"/>
      <c r="E71" s="6" t="n"/>
      <c r="F71" s="6" t="n"/>
      <c r="G71" s="6" t="n"/>
      <c r="H71" s="6" t="n"/>
      <c r="I71" s="6" t="n"/>
      <c r="J71" s="6" t="n"/>
      <c r="K71" s="6" t="n"/>
      <c r="L71" s="6" t="n"/>
      <c r="M71" s="6" t="n"/>
      <c r="N71" s="6" t="n"/>
      <c r="O71" s="6" t="n"/>
      <c r="P71" s="6" t="n"/>
      <c r="Q71" s="6" t="n"/>
      <c r="R71" s="6" t="n"/>
      <c r="S71" s="6" t="n"/>
      <c r="T71" s="6" t="n"/>
      <c r="U71" s="6" t="n"/>
      <c r="V71" s="6" t="n"/>
      <c r="W71" s="6" t="n"/>
      <c r="X71" s="6" t="n"/>
      <c r="Y71" s="6" t="n"/>
      <c r="Z71" s="6" t="n"/>
    </row>
    <row r="72">
      <c r="A72" s="6" t="n"/>
      <c r="B72" s="6" t="n"/>
      <c r="C72" s="6" t="n"/>
      <c r="D72" s="6" t="n"/>
      <c r="E72" s="6" t="n"/>
      <c r="F72" s="6" t="n"/>
      <c r="G72" s="6" t="n"/>
      <c r="H72" s="6" t="n"/>
      <c r="I72" s="6" t="n"/>
      <c r="J72" s="6" t="n"/>
      <c r="K72" s="6" t="n"/>
      <c r="L72" s="6" t="n"/>
      <c r="M72" s="6" t="n"/>
      <c r="N72" s="6" t="n"/>
      <c r="O72" s="6" t="n"/>
      <c r="P72" s="6" t="n"/>
      <c r="Q72" s="6" t="n"/>
      <c r="R72" s="6" t="n"/>
      <c r="S72" s="6" t="n"/>
      <c r="T72" s="6" t="n"/>
      <c r="U72" s="6" t="n"/>
      <c r="V72" s="6" t="n"/>
      <c r="W72" s="6" t="n"/>
      <c r="X72" s="6" t="n"/>
      <c r="Y72" s="6" t="n"/>
      <c r="Z72" s="6" t="n"/>
    </row>
    <row r="73">
      <c r="A73" s="6" t="n"/>
      <c r="B73" s="6" t="n"/>
      <c r="C73" s="6" t="n"/>
      <c r="D73" s="6" t="n"/>
      <c r="E73" s="6" t="n"/>
      <c r="F73" s="6" t="n"/>
      <c r="G73" s="6" t="n"/>
      <c r="H73" s="6" t="n"/>
      <c r="I73" s="6" t="n"/>
      <c r="J73" s="6" t="n"/>
      <c r="K73" s="6" t="n"/>
      <c r="L73" s="6" t="n"/>
      <c r="M73" s="6" t="n"/>
      <c r="N73" s="6" t="n"/>
      <c r="O73" s="6" t="n"/>
      <c r="P73" s="6" t="n"/>
      <c r="Q73" s="6" t="n"/>
      <c r="R73" s="6" t="n"/>
      <c r="S73" s="6" t="n"/>
      <c r="T73" s="6" t="n"/>
      <c r="U73" s="6" t="n"/>
      <c r="V73" s="6" t="n"/>
      <c r="W73" s="6" t="n"/>
      <c r="X73" s="6" t="n"/>
      <c r="Y73" s="6" t="n"/>
      <c r="Z73" s="6" t="n"/>
    </row>
    <row r="74">
      <c r="A74" s="6" t="n"/>
      <c r="B74" s="6" t="n"/>
      <c r="C74" s="6" t="n"/>
      <c r="D74" s="6" t="n"/>
      <c r="E74" s="6" t="n"/>
      <c r="F74" s="6" t="n"/>
      <c r="G74" s="6" t="n"/>
      <c r="H74" s="6" t="n"/>
      <c r="I74" s="6" t="n"/>
      <c r="J74" s="6" t="n"/>
      <c r="K74" s="6" t="n"/>
      <c r="L74" s="6" t="n"/>
      <c r="M74" s="6" t="n"/>
      <c r="N74" s="6" t="n"/>
      <c r="O74" s="6" t="n"/>
      <c r="P74" s="6" t="n"/>
      <c r="Q74" s="6" t="n"/>
      <c r="R74" s="6" t="n"/>
      <c r="S74" s="6" t="n"/>
      <c r="T74" s="6" t="n"/>
      <c r="U74" s="6" t="n"/>
      <c r="V74" s="6" t="n"/>
      <c r="W74" s="6" t="n"/>
      <c r="X74" s="6" t="n"/>
      <c r="Y74" s="6" t="n"/>
      <c r="Z74" s="6" t="n"/>
    </row>
    <row r="75">
      <c r="A75" s="6" t="n"/>
      <c r="B75" s="6" t="n"/>
      <c r="C75" s="6" t="n"/>
      <c r="D75" s="6" t="n"/>
      <c r="E75" s="6" t="n"/>
      <c r="F75" s="6" t="n"/>
      <c r="G75" s="6" t="n"/>
      <c r="H75" s="6" t="n"/>
      <c r="I75" s="6" t="n"/>
      <c r="J75" s="6" t="n"/>
      <c r="K75" s="6" t="n"/>
      <c r="L75" s="6" t="n"/>
      <c r="M75" s="6" t="n"/>
      <c r="N75" s="6" t="n"/>
      <c r="O75" s="6" t="n"/>
      <c r="P75" s="6" t="n"/>
      <c r="Q75" s="6" t="n"/>
      <c r="R75" s="6" t="n"/>
      <c r="S75" s="6" t="n"/>
      <c r="T75" s="6" t="n"/>
      <c r="U75" s="6" t="n"/>
      <c r="V75" s="6" t="n"/>
      <c r="W75" s="6" t="n"/>
      <c r="X75" s="6" t="n"/>
      <c r="Y75" s="6" t="n"/>
      <c r="Z75" s="6" t="n"/>
    </row>
    <row r="76">
      <c r="A76" s="6" t="n"/>
      <c r="B76" s="6" t="n"/>
      <c r="C76" s="6" t="n"/>
      <c r="D76" s="6" t="n"/>
      <c r="E76" s="6" t="n"/>
      <c r="F76" s="6" t="n"/>
      <c r="G76" s="6" t="n"/>
      <c r="H76" s="6" t="n"/>
      <c r="I76" s="6" t="n"/>
      <c r="J76" s="6" t="n"/>
      <c r="K76" s="6" t="n"/>
      <c r="L76" s="6" t="n"/>
      <c r="M76" s="6" t="n"/>
      <c r="N76" s="6" t="n"/>
      <c r="O76" s="6" t="n"/>
      <c r="P76" s="6" t="n"/>
      <c r="Q76" s="6" t="n"/>
      <c r="R76" s="6" t="n"/>
      <c r="S76" s="6" t="n"/>
      <c r="T76" s="6" t="n"/>
      <c r="U76" s="6" t="n"/>
      <c r="V76" s="6" t="n"/>
      <c r="W76" s="6" t="n"/>
      <c r="X76" s="6" t="n"/>
      <c r="Y76" s="6" t="n"/>
      <c r="Z76" s="6" t="n"/>
    </row>
    <row r="77">
      <c r="A77" s="6" t="n"/>
      <c r="B77" s="6" t="n"/>
      <c r="C77" s="6" t="n"/>
      <c r="D77" s="6" t="n"/>
      <c r="E77" s="6" t="n"/>
      <c r="F77" s="6" t="n"/>
      <c r="G77" s="6" t="n"/>
      <c r="H77" s="6" t="n"/>
      <c r="I77" s="6" t="n"/>
      <c r="J77" s="6" t="n"/>
      <c r="K77" s="6" t="n"/>
      <c r="L77" s="6" t="n"/>
      <c r="M77" s="6" t="n"/>
      <c r="N77" s="6" t="n"/>
      <c r="O77" s="6" t="n"/>
      <c r="P77" s="6" t="n"/>
      <c r="Q77" s="6" t="n"/>
      <c r="R77" s="6" t="n"/>
      <c r="S77" s="6" t="n"/>
      <c r="T77" s="6" t="n"/>
      <c r="U77" s="6" t="n"/>
      <c r="V77" s="6" t="n"/>
      <c r="W77" s="6" t="n"/>
      <c r="X77" s="6" t="n"/>
      <c r="Y77" s="6" t="n"/>
      <c r="Z77" s="6" t="n"/>
    </row>
    <row r="78">
      <c r="A78" s="6" t="n"/>
      <c r="B78" s="6" t="n"/>
      <c r="C78" s="6" t="n"/>
      <c r="D78" s="6" t="n"/>
      <c r="E78" s="6" t="n"/>
      <c r="F78" s="6" t="n"/>
      <c r="G78" s="6" t="n"/>
      <c r="H78" s="6" t="n"/>
      <c r="I78" s="6" t="n"/>
      <c r="J78" s="6" t="n"/>
      <c r="K78" s="6" t="n"/>
      <c r="L78" s="6" t="n"/>
      <c r="M78" s="6" t="n"/>
      <c r="N78" s="6" t="n"/>
      <c r="O78" s="6" t="n"/>
      <c r="P78" s="6" t="n"/>
      <c r="Q78" s="6" t="n"/>
      <c r="R78" s="6" t="n"/>
      <c r="S78" s="6" t="n"/>
      <c r="T78" s="6" t="n"/>
      <c r="U78" s="6" t="n"/>
      <c r="V78" s="6" t="n"/>
      <c r="W78" s="6" t="n"/>
      <c r="X78" s="6" t="n"/>
      <c r="Y78" s="6" t="n"/>
      <c r="Z78" s="6" t="n"/>
    </row>
    <row r="79">
      <c r="A79" s="6" t="n"/>
      <c r="B79" s="6" t="n"/>
      <c r="C79" s="6" t="n"/>
      <c r="D79" s="6" t="n"/>
      <c r="E79" s="6" t="n"/>
      <c r="F79" s="6" t="n"/>
      <c r="G79" s="6" t="n"/>
      <c r="H79" s="6" t="n"/>
      <c r="I79" s="6" t="n"/>
      <c r="J79" s="6" t="n"/>
      <c r="K79" s="6" t="n"/>
      <c r="L79" s="6" t="n"/>
      <c r="M79" s="6" t="n"/>
      <c r="N79" s="6" t="n"/>
      <c r="O79" s="6" t="n"/>
      <c r="P79" s="6" t="n"/>
      <c r="Q79" s="6" t="n"/>
      <c r="R79" s="6" t="n"/>
      <c r="S79" s="6" t="n"/>
      <c r="T79" s="6" t="n"/>
      <c r="U79" s="6" t="n"/>
      <c r="V79" s="6" t="n"/>
      <c r="W79" s="6" t="n"/>
      <c r="X79" s="6" t="n"/>
      <c r="Y79" s="6" t="n"/>
      <c r="Z79" s="6" t="n"/>
    </row>
    <row r="80">
      <c r="A80" s="6" t="n"/>
      <c r="B80" s="6" t="n"/>
      <c r="C80" s="6" t="n"/>
      <c r="D80" s="6" t="n"/>
      <c r="E80" s="6" t="n"/>
      <c r="F80" s="6" t="n"/>
      <c r="G80" s="6" t="n"/>
      <c r="H80" s="6" t="n"/>
      <c r="I80" s="6" t="n"/>
      <c r="J80" s="6" t="n"/>
      <c r="K80" s="6" t="n"/>
      <c r="L80" s="6" t="n"/>
      <c r="M80" s="6" t="n"/>
      <c r="N80" s="6" t="n"/>
      <c r="O80" s="6" t="n"/>
      <c r="P80" s="6" t="n"/>
      <c r="Q80" s="6" t="n"/>
      <c r="R80" s="6" t="n"/>
      <c r="S80" s="6" t="n"/>
      <c r="T80" s="6" t="n"/>
      <c r="U80" s="6" t="n"/>
      <c r="V80" s="6" t="n"/>
      <c r="W80" s="6" t="n"/>
      <c r="X80" s="6" t="n"/>
      <c r="Y80" s="6" t="n"/>
      <c r="Z80" s="6" t="n"/>
    </row>
    <row r="81">
      <c r="A81" s="6" t="n"/>
      <c r="B81" s="6" t="n"/>
      <c r="C81" s="6" t="n"/>
      <c r="D81" s="6" t="n"/>
      <c r="E81" s="6" t="n"/>
      <c r="F81" s="6" t="n"/>
      <c r="G81" s="6" t="n"/>
      <c r="H81" s="6" t="n"/>
      <c r="I81" s="6" t="n"/>
      <c r="J81" s="6" t="n"/>
      <c r="K81" s="6" t="n"/>
      <c r="L81" s="6" t="n"/>
      <c r="M81" s="6" t="n"/>
      <c r="N81" s="6" t="n"/>
      <c r="O81" s="6" t="n"/>
      <c r="P81" s="6" t="n"/>
      <c r="Q81" s="6" t="n"/>
      <c r="R81" s="6" t="n"/>
      <c r="S81" s="6" t="n"/>
      <c r="T81" s="6" t="n"/>
      <c r="U81" s="6" t="n"/>
      <c r="V81" s="6" t="n"/>
      <c r="W81" s="6" t="n"/>
      <c r="X81" s="6" t="n"/>
      <c r="Y81" s="6" t="n"/>
      <c r="Z81" s="6" t="n"/>
    </row>
    <row r="82">
      <c r="A82" s="6" t="n"/>
      <c r="B82" s="6" t="n"/>
      <c r="C82" s="6" t="n"/>
      <c r="D82" s="6" t="n"/>
      <c r="E82" s="6" t="n"/>
      <c r="F82" s="6" t="n"/>
      <c r="G82" s="6" t="n"/>
      <c r="H82" s="6" t="n"/>
      <c r="I82" s="6" t="n"/>
      <c r="J82" s="6" t="n"/>
      <c r="K82" s="6" t="n"/>
      <c r="L82" s="6" t="n"/>
      <c r="M82" s="6" t="n"/>
      <c r="N82" s="6" t="n"/>
      <c r="O82" s="6" t="n"/>
      <c r="P82" s="6" t="n"/>
      <c r="Q82" s="6" t="n"/>
      <c r="R82" s="6" t="n"/>
      <c r="S82" s="6" t="n"/>
      <c r="T82" s="6" t="n"/>
      <c r="U82" s="6" t="n"/>
      <c r="V82" s="6" t="n"/>
      <c r="W82" s="6" t="n"/>
      <c r="X82" s="6" t="n"/>
      <c r="Y82" s="6" t="n"/>
      <c r="Z82" s="6" t="n"/>
    </row>
    <row r="83">
      <c r="A83" s="6" t="n"/>
      <c r="B83" s="6" t="n"/>
      <c r="C83" s="6" t="n"/>
      <c r="D83" s="6" t="n"/>
      <c r="E83" s="6" t="n"/>
      <c r="F83" s="6" t="n"/>
      <c r="G83" s="6" t="n"/>
      <c r="H83" s="6" t="n"/>
      <c r="I83" s="6" t="n"/>
      <c r="J83" s="6" t="n"/>
      <c r="K83" s="6" t="n"/>
      <c r="L83" s="6" t="n"/>
      <c r="M83" s="6" t="n"/>
      <c r="N83" s="6" t="n"/>
      <c r="O83" s="6" t="n"/>
      <c r="P83" s="6" t="n"/>
      <c r="Q83" s="6" t="n"/>
      <c r="R83" s="6" t="n"/>
      <c r="S83" s="6" t="n"/>
      <c r="T83" s="6" t="n"/>
      <c r="U83" s="6" t="n"/>
      <c r="V83" s="6" t="n"/>
      <c r="W83" s="6" t="n"/>
      <c r="X83" s="6" t="n"/>
      <c r="Y83" s="6" t="n"/>
      <c r="Z83" s="6" t="n"/>
    </row>
    <row r="84">
      <c r="A84" s="6" t="n"/>
      <c r="B84" s="6" t="n"/>
      <c r="C84" s="6" t="n"/>
      <c r="D84" s="6" t="n"/>
      <c r="E84" s="6" t="n"/>
      <c r="F84" s="6" t="n"/>
      <c r="G84" s="6" t="n"/>
      <c r="H84" s="6" t="n"/>
      <c r="I84" s="6" t="n"/>
      <c r="J84" s="6" t="n"/>
      <c r="K84" s="6" t="n"/>
      <c r="L84" s="6" t="n"/>
      <c r="M84" s="6" t="n"/>
      <c r="N84" s="6" t="n"/>
      <c r="O84" s="6" t="n"/>
      <c r="P84" s="6" t="n"/>
      <c r="Q84" s="6" t="n"/>
      <c r="R84" s="6" t="n"/>
      <c r="S84" s="6" t="n"/>
      <c r="T84" s="6" t="n"/>
      <c r="U84" s="6" t="n"/>
      <c r="V84" s="6" t="n"/>
      <c r="W84" s="6" t="n"/>
      <c r="X84" s="6" t="n"/>
      <c r="Y84" s="6" t="n"/>
      <c r="Z84" s="6" t="n"/>
    </row>
    <row r="85">
      <c r="A85" s="6" t="n"/>
      <c r="B85" s="6" t="n"/>
      <c r="C85" s="6" t="n"/>
      <c r="D85" s="6" t="n"/>
      <c r="E85" s="6" t="n"/>
      <c r="F85" s="6" t="n"/>
      <c r="G85" s="6" t="n"/>
      <c r="H85" s="6" t="n"/>
      <c r="I85" s="6" t="n"/>
      <c r="J85" s="6" t="n"/>
      <c r="K85" s="6" t="n"/>
      <c r="L85" s="6" t="n"/>
      <c r="M85" s="6" t="n"/>
      <c r="N85" s="6" t="n"/>
      <c r="O85" s="6" t="n"/>
      <c r="P85" s="6" t="n"/>
      <c r="Q85" s="6" t="n"/>
      <c r="R85" s="6" t="n"/>
      <c r="S85" s="6" t="n"/>
      <c r="T85" s="6" t="n"/>
      <c r="U85" s="6" t="n"/>
      <c r="V85" s="6" t="n"/>
      <c r="W85" s="6" t="n"/>
      <c r="X85" s="6" t="n"/>
      <c r="Y85" s="6" t="n"/>
      <c r="Z85" s="6" t="n"/>
    </row>
    <row r="86">
      <c r="A86" s="6" t="n"/>
      <c r="B86" s="6" t="n"/>
      <c r="C86" s="6" t="n"/>
      <c r="D86" s="6" t="n"/>
      <c r="E86" s="6" t="n"/>
      <c r="F86" s="6" t="n"/>
      <c r="G86" s="6" t="n"/>
      <c r="H86" s="6" t="n"/>
      <c r="I86" s="6" t="n"/>
      <c r="J86" s="6" t="n"/>
      <c r="K86" s="6" t="n"/>
      <c r="L86" s="6" t="n"/>
      <c r="M86" s="6" t="n"/>
      <c r="N86" s="6" t="n"/>
      <c r="O86" s="6" t="n"/>
      <c r="P86" s="6" t="n"/>
      <c r="Q86" s="6" t="n"/>
      <c r="R86" s="6" t="n"/>
      <c r="S86" s="6" t="n"/>
      <c r="T86" s="6" t="n"/>
      <c r="U86" s="6" t="n"/>
      <c r="V86" s="6" t="n"/>
      <c r="W86" s="6" t="n"/>
      <c r="X86" s="6" t="n"/>
      <c r="Y86" s="6" t="n"/>
      <c r="Z86" s="6" t="n"/>
    </row>
    <row r="87">
      <c r="A87" s="6" t="n"/>
      <c r="B87" s="6" t="n"/>
      <c r="C87" s="6" t="n"/>
      <c r="D87" s="6" t="n"/>
      <c r="E87" s="6" t="n"/>
      <c r="F87" s="6" t="n"/>
      <c r="G87" s="6" t="n"/>
      <c r="H87" s="6" t="n"/>
      <c r="I87" s="6" t="n"/>
      <c r="J87" s="6" t="n"/>
      <c r="K87" s="6" t="n"/>
      <c r="L87" s="6" t="n"/>
      <c r="M87" s="6" t="n"/>
      <c r="N87" s="6" t="n"/>
      <c r="O87" s="6" t="n"/>
      <c r="P87" s="6" t="n"/>
      <c r="Q87" s="6" t="n"/>
      <c r="R87" s="6" t="n"/>
      <c r="S87" s="6" t="n"/>
      <c r="T87" s="6" t="n"/>
      <c r="U87" s="6" t="n"/>
      <c r="V87" s="6" t="n"/>
      <c r="W87" s="6" t="n"/>
      <c r="X87" s="6" t="n"/>
      <c r="Y87" s="6" t="n"/>
      <c r="Z87" s="6" t="n"/>
    </row>
    <row r="88">
      <c r="A88" s="6" t="n"/>
      <c r="B88" s="6" t="n"/>
      <c r="C88" s="6" t="n"/>
      <c r="D88" s="6" t="n"/>
      <c r="E88" s="6" t="n"/>
      <c r="F88" s="6" t="n"/>
      <c r="G88" s="6" t="n"/>
      <c r="H88" s="6" t="n"/>
      <c r="I88" s="6" t="n"/>
      <c r="J88" s="6" t="n"/>
      <c r="K88" s="6" t="n"/>
      <c r="L88" s="6" t="n"/>
      <c r="M88" s="6" t="n"/>
      <c r="N88" s="6" t="n"/>
      <c r="O88" s="6" t="n"/>
      <c r="P88" s="6" t="n"/>
      <c r="Q88" s="6" t="n"/>
      <c r="R88" s="6" t="n"/>
      <c r="S88" s="6" t="n"/>
      <c r="T88" s="6" t="n"/>
      <c r="U88" s="6" t="n"/>
      <c r="V88" s="6" t="n"/>
      <c r="W88" s="6" t="n"/>
      <c r="X88" s="6" t="n"/>
      <c r="Y88" s="6" t="n"/>
      <c r="Z88" s="6" t="n"/>
    </row>
    <row r="89">
      <c r="A89" s="6" t="n"/>
      <c r="B89" s="6" t="n"/>
      <c r="C89" s="6" t="n"/>
      <c r="D89" s="6" t="n"/>
      <c r="E89" s="6" t="n"/>
      <c r="F89" s="6" t="n"/>
      <c r="G89" s="6" t="n"/>
      <c r="H89" s="6" t="n"/>
      <c r="I89" s="6" t="n"/>
      <c r="J89" s="6" t="n"/>
      <c r="K89" s="6" t="n"/>
      <c r="L89" s="6" t="n"/>
      <c r="M89" s="6" t="n"/>
      <c r="N89" s="6" t="n"/>
      <c r="O89" s="6" t="n"/>
      <c r="P89" s="6" t="n"/>
      <c r="Q89" s="6" t="n"/>
      <c r="R89" s="6" t="n"/>
      <c r="S89" s="6" t="n"/>
      <c r="T89" s="6" t="n"/>
      <c r="U89" s="6" t="n"/>
      <c r="V89" s="6" t="n"/>
      <c r="W89" s="6" t="n"/>
      <c r="X89" s="6" t="n"/>
      <c r="Y89" s="6" t="n"/>
      <c r="Z89" s="6" t="n"/>
    </row>
    <row r="90">
      <c r="A90" s="6" t="n"/>
      <c r="B90" s="6" t="n"/>
      <c r="C90" s="6" t="n"/>
      <c r="D90" s="6" t="n"/>
      <c r="E90" s="6" t="n"/>
      <c r="F90" s="6" t="n"/>
      <c r="G90" s="6" t="n"/>
      <c r="H90" s="6" t="n"/>
      <c r="I90" s="6" t="n"/>
      <c r="J90" s="6" t="n"/>
      <c r="K90" s="6" t="n"/>
      <c r="L90" s="6" t="n"/>
      <c r="M90" s="6" t="n"/>
      <c r="N90" s="6" t="n"/>
      <c r="O90" s="6" t="n"/>
      <c r="P90" s="6" t="n"/>
      <c r="Q90" s="6" t="n"/>
      <c r="R90" s="6" t="n"/>
      <c r="S90" s="6" t="n"/>
      <c r="T90" s="6" t="n"/>
      <c r="U90" s="6" t="n"/>
      <c r="V90" s="6" t="n"/>
      <c r="W90" s="6" t="n"/>
      <c r="X90" s="6" t="n"/>
      <c r="Y90" s="6" t="n"/>
      <c r="Z90" s="6" t="n"/>
    </row>
    <row r="91">
      <c r="A91" s="6" t="n"/>
      <c r="B91" s="6" t="n"/>
      <c r="C91" s="6" t="n"/>
      <c r="D91" s="6" t="n"/>
      <c r="E91" s="6" t="n"/>
      <c r="F91" s="6" t="n"/>
      <c r="G91" s="6" t="n"/>
      <c r="H91" s="6" t="n"/>
      <c r="I91" s="6" t="n"/>
      <c r="J91" s="6" t="n"/>
      <c r="K91" s="6" t="n"/>
      <c r="L91" s="6" t="n"/>
      <c r="M91" s="6" t="n"/>
      <c r="N91" s="6" t="n"/>
      <c r="O91" s="6" t="n"/>
      <c r="P91" s="6" t="n"/>
      <c r="Q91" s="6" t="n"/>
      <c r="R91" s="6" t="n"/>
      <c r="S91" s="6" t="n"/>
      <c r="T91" s="6" t="n"/>
      <c r="U91" s="6" t="n"/>
      <c r="V91" s="6" t="n"/>
      <c r="W91" s="6" t="n"/>
      <c r="X91" s="6" t="n"/>
      <c r="Y91" s="6" t="n"/>
      <c r="Z91" s="6" t="n"/>
    </row>
    <row r="92">
      <c r="A92" s="6" t="n"/>
      <c r="B92" s="6" t="n"/>
      <c r="C92" s="6" t="n"/>
      <c r="D92" s="6" t="n"/>
      <c r="E92" s="6" t="n"/>
      <c r="F92" s="6" t="n"/>
      <c r="G92" s="6" t="n"/>
      <c r="H92" s="6" t="n"/>
      <c r="I92" s="6" t="n"/>
      <c r="J92" s="6" t="n"/>
      <c r="K92" s="6" t="n"/>
      <c r="L92" s="6" t="n"/>
      <c r="M92" s="6" t="n"/>
      <c r="N92" s="6" t="n"/>
      <c r="O92" s="6" t="n"/>
      <c r="P92" s="6" t="n"/>
      <c r="Q92" s="6" t="n"/>
      <c r="R92" s="6" t="n"/>
      <c r="S92" s="6" t="n"/>
      <c r="T92" s="6" t="n"/>
      <c r="U92" s="6" t="n"/>
      <c r="V92" s="6" t="n"/>
      <c r="W92" s="6" t="n"/>
      <c r="X92" s="6" t="n"/>
      <c r="Y92" s="6" t="n"/>
      <c r="Z92" s="6" t="n"/>
    </row>
    <row r="93">
      <c r="A93" s="6" t="n"/>
      <c r="B93" s="6" t="n"/>
      <c r="C93" s="6" t="n"/>
      <c r="D93" s="6" t="n"/>
      <c r="E93" s="6" t="n"/>
      <c r="F93" s="6" t="n"/>
      <c r="G93" s="6" t="n"/>
      <c r="H93" s="6" t="n"/>
      <c r="I93" s="6" t="n"/>
      <c r="J93" s="6" t="n"/>
      <c r="K93" s="6" t="n"/>
      <c r="L93" s="6" t="n"/>
      <c r="M93" s="6" t="n"/>
      <c r="N93" s="6" t="n"/>
      <c r="O93" s="6" t="n"/>
      <c r="P93" s="6" t="n"/>
      <c r="Q93" s="6" t="n"/>
      <c r="R93" s="6" t="n"/>
      <c r="S93" s="6" t="n"/>
      <c r="T93" s="6" t="n"/>
      <c r="U93" s="6" t="n"/>
      <c r="V93" s="6" t="n"/>
      <c r="W93" s="6" t="n"/>
      <c r="X93" s="6" t="n"/>
      <c r="Y93" s="6" t="n"/>
      <c r="Z93" s="6" t="n"/>
    </row>
    <row r="94">
      <c r="A94" s="6" t="n"/>
      <c r="B94" s="6" t="n"/>
      <c r="C94" s="6" t="n"/>
      <c r="D94" s="6" t="n"/>
      <c r="E94" s="6" t="n"/>
      <c r="F94" s="6" t="n"/>
      <c r="G94" s="6" t="n"/>
      <c r="H94" s="6" t="n"/>
      <c r="I94" s="6" t="n"/>
      <c r="J94" s="6" t="n"/>
      <c r="K94" s="6" t="n"/>
      <c r="L94" s="6" t="n"/>
      <c r="M94" s="6" t="n"/>
      <c r="N94" s="6" t="n"/>
      <c r="O94" s="6" t="n"/>
      <c r="P94" s="6" t="n"/>
      <c r="Q94" s="6" t="n"/>
      <c r="R94" s="6" t="n"/>
      <c r="S94" s="6" t="n"/>
      <c r="T94" s="6" t="n"/>
      <c r="U94" s="6" t="n"/>
      <c r="V94" s="6" t="n"/>
      <c r="W94" s="6" t="n"/>
      <c r="X94" s="6" t="n"/>
      <c r="Y94" s="6" t="n"/>
      <c r="Z94" s="6" t="n"/>
    </row>
    <row r="95">
      <c r="A95" s="6" t="n"/>
      <c r="B95" s="6" t="n"/>
      <c r="C95" s="6" t="n"/>
      <c r="D95" s="6" t="n"/>
      <c r="E95" s="6" t="n"/>
      <c r="F95" s="6" t="n"/>
      <c r="G95" s="6" t="n"/>
      <c r="H95" s="6" t="n"/>
      <c r="I95" s="6" t="n"/>
      <c r="J95" s="6" t="n"/>
      <c r="K95" s="6" t="n"/>
      <c r="L95" s="6" t="n"/>
      <c r="M95" s="6" t="n"/>
      <c r="N95" s="6" t="n"/>
      <c r="O95" s="6" t="n"/>
      <c r="P95" s="6" t="n"/>
      <c r="Q95" s="6" t="n"/>
      <c r="R95" s="6" t="n"/>
      <c r="S95" s="6" t="n"/>
      <c r="T95" s="6" t="n"/>
      <c r="U95" s="6" t="n"/>
      <c r="V95" s="6" t="n"/>
      <c r="W95" s="6" t="n"/>
      <c r="X95" s="6" t="n"/>
      <c r="Y95" s="6" t="n"/>
      <c r="Z95" s="6" t="n"/>
    </row>
    <row r="96">
      <c r="A96" s="6" t="n"/>
      <c r="B96" s="6" t="n"/>
      <c r="C96" s="6" t="n"/>
      <c r="D96" s="6" t="n"/>
      <c r="E96" s="6" t="n"/>
      <c r="F96" s="6" t="n"/>
      <c r="G96" s="6" t="n"/>
      <c r="H96" s="6" t="n"/>
      <c r="I96" s="6" t="n"/>
      <c r="J96" s="6" t="n"/>
      <c r="K96" s="6" t="n"/>
      <c r="L96" s="6" t="n"/>
      <c r="M96" s="6" t="n"/>
      <c r="N96" s="6" t="n"/>
      <c r="O96" s="6" t="n"/>
      <c r="P96" s="6" t="n"/>
      <c r="Q96" s="6" t="n"/>
      <c r="R96" s="6" t="n"/>
      <c r="S96" s="6" t="n"/>
      <c r="T96" s="6" t="n"/>
      <c r="U96" s="6" t="n"/>
      <c r="V96" s="6" t="n"/>
      <c r="W96" s="6" t="n"/>
      <c r="X96" s="6" t="n"/>
      <c r="Y96" s="6" t="n"/>
      <c r="Z96" s="6" t="n"/>
    </row>
    <row r="97">
      <c r="A97" s="6" t="n"/>
      <c r="B97" s="6" t="n"/>
      <c r="C97" s="6" t="n"/>
      <c r="D97" s="6" t="n"/>
      <c r="E97" s="6" t="n"/>
      <c r="F97" s="6" t="n"/>
      <c r="G97" s="6" t="n"/>
      <c r="H97" s="6" t="n"/>
      <c r="I97" s="6" t="n"/>
      <c r="J97" s="6" t="n"/>
      <c r="K97" s="6" t="n"/>
      <c r="L97" s="6" t="n"/>
      <c r="M97" s="6" t="n"/>
      <c r="N97" s="6" t="n"/>
      <c r="O97" s="6" t="n"/>
      <c r="P97" s="6" t="n"/>
      <c r="Q97" s="6" t="n"/>
      <c r="R97" s="6" t="n"/>
      <c r="S97" s="6" t="n"/>
      <c r="T97" s="6" t="n"/>
      <c r="U97" s="6" t="n"/>
      <c r="V97" s="6" t="n"/>
      <c r="W97" s="6" t="n"/>
      <c r="X97" s="6" t="n"/>
      <c r="Y97" s="6" t="n"/>
      <c r="Z97" s="6" t="n"/>
    </row>
    <row r="98">
      <c r="A98" s="6" t="n"/>
      <c r="B98" s="6" t="n"/>
      <c r="C98" s="6" t="n"/>
      <c r="D98" s="6" t="n"/>
      <c r="E98" s="6" t="n"/>
      <c r="F98" s="6" t="n"/>
      <c r="G98" s="6" t="n"/>
      <c r="H98" s="6" t="n"/>
      <c r="I98" s="6" t="n"/>
      <c r="J98" s="6" t="n"/>
      <c r="K98" s="6" t="n"/>
      <c r="L98" s="6" t="n"/>
      <c r="M98" s="6" t="n"/>
      <c r="N98" s="6" t="n"/>
      <c r="O98" s="6" t="n"/>
      <c r="P98" s="6" t="n"/>
      <c r="Q98" s="6" t="n"/>
      <c r="R98" s="6" t="n"/>
      <c r="S98" s="6" t="n"/>
      <c r="T98" s="6" t="n"/>
      <c r="U98" s="6" t="n"/>
      <c r="V98" s="6" t="n"/>
      <c r="W98" s="6" t="n"/>
      <c r="X98" s="6" t="n"/>
      <c r="Y98" s="6" t="n"/>
      <c r="Z98" s="6" t="n"/>
    </row>
    <row r="99">
      <c r="A99" s="6" t="n"/>
      <c r="B99" s="6" t="n"/>
      <c r="C99" s="6" t="n"/>
      <c r="D99" s="6" t="n"/>
      <c r="E99" s="6" t="n"/>
      <c r="F99" s="6" t="n"/>
      <c r="G99" s="6" t="n"/>
      <c r="H99" s="6" t="n"/>
      <c r="I99" s="6" t="n"/>
      <c r="J99" s="6" t="n"/>
      <c r="K99" s="6" t="n"/>
      <c r="L99" s="6" t="n"/>
      <c r="M99" s="6" t="n"/>
      <c r="N99" s="6" t="n"/>
      <c r="O99" s="6" t="n"/>
      <c r="P99" s="6" t="n"/>
      <c r="Q99" s="6" t="n"/>
      <c r="R99" s="6" t="n"/>
      <c r="S99" s="6" t="n"/>
      <c r="T99" s="6" t="n"/>
      <c r="U99" s="6" t="n"/>
      <c r="V99" s="6" t="n"/>
      <c r="W99" s="6" t="n"/>
      <c r="X99" s="6" t="n"/>
      <c r="Y99" s="6" t="n"/>
      <c r="Z99" s="6" t="n"/>
    </row>
    <row r="100">
      <c r="A100" s="6" t="n"/>
      <c r="B100" s="6" t="n"/>
      <c r="C100" s="6" t="n"/>
      <c r="D100" s="6" t="n"/>
      <c r="E100" s="6" t="n"/>
      <c r="F100" s="6" t="n"/>
      <c r="G100" s="6" t="n"/>
      <c r="H100" s="6" t="n"/>
      <c r="I100" s="6" t="n"/>
      <c r="J100" s="6" t="n"/>
      <c r="K100" s="6" t="n"/>
      <c r="L100" s="6" t="n"/>
      <c r="M100" s="6" t="n"/>
      <c r="N100" s="6" t="n"/>
      <c r="O100" s="6" t="n"/>
      <c r="P100" s="6" t="n"/>
      <c r="Q100" s="6" t="n"/>
      <c r="R100" s="6" t="n"/>
      <c r="S100" s="6" t="n"/>
      <c r="T100" s="6" t="n"/>
      <c r="U100" s="6" t="n"/>
      <c r="V100" s="6" t="n"/>
      <c r="W100" s="6" t="n"/>
      <c r="X100" s="6" t="n"/>
      <c r="Y100" s="6" t="n"/>
      <c r="Z100" s="6" t="n"/>
    </row>
    <row r="101">
      <c r="A101" s="6" t="n"/>
      <c r="B101" s="6" t="n"/>
      <c r="C101" s="6" t="n"/>
      <c r="D101" s="6" t="n"/>
      <c r="E101" s="6" t="n"/>
      <c r="F101" s="6" t="n"/>
      <c r="G101" s="6" t="n"/>
      <c r="H101" s="6" t="n"/>
      <c r="I101" s="6" t="n"/>
      <c r="J101" s="6" t="n"/>
      <c r="K101" s="6" t="n"/>
      <c r="L101" s="6" t="n"/>
      <c r="M101" s="6" t="n"/>
      <c r="N101" s="6" t="n"/>
      <c r="O101" s="6" t="n"/>
      <c r="P101" s="6" t="n"/>
      <c r="Q101" s="6" t="n"/>
      <c r="R101" s="6" t="n"/>
      <c r="S101" s="6" t="n"/>
      <c r="T101" s="6" t="n"/>
      <c r="U101" s="6" t="n"/>
      <c r="V101" s="6" t="n"/>
      <c r="W101" s="6" t="n"/>
      <c r="X101" s="6" t="n"/>
      <c r="Y101" s="6" t="n"/>
      <c r="Z101" s="6" t="n"/>
    </row>
    <row r="102">
      <c r="A102" s="6" t="n"/>
      <c r="B102" s="6" t="n"/>
      <c r="C102" s="6" t="n"/>
      <c r="D102" s="6" t="n"/>
      <c r="E102" s="6" t="n"/>
      <c r="F102" s="6" t="n"/>
      <c r="G102" s="6" t="n"/>
      <c r="H102" s="6" t="n"/>
      <c r="I102" s="6" t="n"/>
      <c r="J102" s="6" t="n"/>
      <c r="K102" s="6" t="n"/>
      <c r="L102" s="6" t="n"/>
      <c r="M102" s="6" t="n"/>
      <c r="N102" s="6" t="n"/>
      <c r="O102" s="6" t="n"/>
      <c r="P102" s="6" t="n"/>
      <c r="Q102" s="6" t="n"/>
      <c r="R102" s="6" t="n"/>
      <c r="S102" s="6" t="n"/>
      <c r="T102" s="6" t="n"/>
      <c r="U102" s="6" t="n"/>
      <c r="V102" s="6" t="n"/>
      <c r="W102" s="6" t="n"/>
      <c r="X102" s="6" t="n"/>
      <c r="Y102" s="6" t="n"/>
      <c r="Z102" s="6" t="n"/>
    </row>
    <row r="103">
      <c r="A103" s="6" t="n"/>
      <c r="B103" s="6" t="n"/>
      <c r="C103" s="6" t="n"/>
      <c r="D103" s="6" t="n"/>
      <c r="E103" s="6" t="n"/>
      <c r="F103" s="6" t="n"/>
      <c r="G103" s="6" t="n"/>
      <c r="H103" s="6" t="n"/>
      <c r="I103" s="6" t="n"/>
      <c r="J103" s="6" t="n"/>
      <c r="K103" s="6" t="n"/>
      <c r="L103" s="6" t="n"/>
      <c r="M103" s="6" t="n"/>
      <c r="N103" s="6" t="n"/>
      <c r="O103" s="6" t="n"/>
      <c r="P103" s="6" t="n"/>
      <c r="Q103" s="6" t="n"/>
      <c r="R103" s="6" t="n"/>
      <c r="S103" s="6" t="n"/>
      <c r="T103" s="6" t="n"/>
      <c r="U103" s="6" t="n"/>
      <c r="V103" s="6" t="n"/>
      <c r="W103" s="6" t="n"/>
      <c r="X103" s="6" t="n"/>
      <c r="Y103" s="6" t="n"/>
      <c r="Z103" s="6" t="n"/>
    </row>
    <row r="104">
      <c r="A104" s="6" t="n"/>
      <c r="B104" s="6" t="n"/>
      <c r="C104" s="6" t="n"/>
      <c r="D104" s="6" t="n"/>
      <c r="E104" s="6" t="n"/>
      <c r="F104" s="6" t="n"/>
      <c r="G104" s="6" t="n"/>
      <c r="H104" s="6" t="n"/>
      <c r="I104" s="6" t="n"/>
      <c r="J104" s="6" t="n"/>
      <c r="K104" s="6" t="n"/>
      <c r="L104" s="6" t="n"/>
      <c r="M104" s="6" t="n"/>
      <c r="N104" s="6" t="n"/>
      <c r="O104" s="6" t="n"/>
      <c r="P104" s="6" t="n"/>
      <c r="Q104" s="6" t="n"/>
      <c r="R104" s="6" t="n"/>
      <c r="S104" s="6" t="n"/>
      <c r="T104" s="6" t="n"/>
      <c r="U104" s="6" t="n"/>
      <c r="V104" s="6" t="n"/>
      <c r="W104" s="6" t="n"/>
      <c r="X104" s="6" t="n"/>
      <c r="Y104" s="6" t="n"/>
      <c r="Z104" s="6" t="n"/>
    </row>
    <row r="105">
      <c r="A105" s="6" t="n"/>
      <c r="B105" s="6" t="n"/>
      <c r="C105" s="6" t="n"/>
      <c r="D105" s="6" t="n"/>
      <c r="E105" s="6" t="n"/>
      <c r="F105" s="6" t="n"/>
      <c r="G105" s="6" t="n"/>
      <c r="H105" s="6" t="n"/>
      <c r="I105" s="6" t="n"/>
      <c r="J105" s="6" t="n"/>
      <c r="K105" s="6" t="n"/>
      <c r="L105" s="6" t="n"/>
      <c r="M105" s="6" t="n"/>
      <c r="N105" s="6" t="n"/>
      <c r="O105" s="6" t="n"/>
      <c r="P105" s="6" t="n"/>
      <c r="Q105" s="6" t="n"/>
      <c r="R105" s="6" t="n"/>
      <c r="S105" s="6" t="n"/>
      <c r="T105" s="6" t="n"/>
      <c r="U105" s="6" t="n"/>
      <c r="V105" s="6" t="n"/>
      <c r="W105" s="6" t="n"/>
      <c r="X105" s="6" t="n"/>
      <c r="Y105" s="6" t="n"/>
      <c r="Z105" s="6" t="n"/>
    </row>
    <row r="106">
      <c r="A106" s="6" t="n"/>
      <c r="B106" s="6" t="n"/>
      <c r="C106" s="6" t="n"/>
      <c r="D106" s="6" t="n"/>
      <c r="E106" s="6" t="n"/>
      <c r="F106" s="6" t="n"/>
      <c r="G106" s="6" t="n"/>
      <c r="H106" s="6" t="n"/>
      <c r="I106" s="6" t="n"/>
      <c r="J106" s="6" t="n"/>
      <c r="K106" s="6" t="n"/>
      <c r="L106" s="6" t="n"/>
      <c r="M106" s="6" t="n"/>
      <c r="N106" s="6" t="n"/>
      <c r="O106" s="6" t="n"/>
      <c r="P106" s="6" t="n"/>
      <c r="Q106" s="6" t="n"/>
      <c r="R106" s="6" t="n"/>
      <c r="S106" s="6" t="n"/>
      <c r="T106" s="6" t="n"/>
      <c r="U106" s="6" t="n"/>
      <c r="V106" s="6" t="n"/>
      <c r="W106" s="6" t="n"/>
      <c r="X106" s="6" t="n"/>
      <c r="Y106" s="6" t="n"/>
      <c r="Z106" s="6" t="n"/>
    </row>
    <row r="107">
      <c r="A107" s="6" t="n"/>
      <c r="B107" s="6" t="n"/>
      <c r="C107" s="6" t="n"/>
      <c r="D107" s="6" t="n"/>
      <c r="E107" s="6" t="n"/>
      <c r="F107" s="6" t="n"/>
      <c r="G107" s="6" t="n"/>
      <c r="H107" s="6" t="n"/>
      <c r="I107" s="6" t="n"/>
      <c r="J107" s="6" t="n"/>
      <c r="K107" s="6" t="n"/>
      <c r="L107" s="6" t="n"/>
      <c r="M107" s="6" t="n"/>
      <c r="N107" s="6" t="n"/>
      <c r="O107" s="6" t="n"/>
      <c r="P107" s="6" t="n"/>
      <c r="Q107" s="6" t="n"/>
      <c r="R107" s="6" t="n"/>
      <c r="S107" s="6" t="n"/>
      <c r="T107" s="6" t="n"/>
      <c r="U107" s="6" t="n"/>
      <c r="V107" s="6" t="n"/>
      <c r="W107" s="6" t="n"/>
      <c r="X107" s="6" t="n"/>
      <c r="Y107" s="6" t="n"/>
      <c r="Z107" s="6" t="n"/>
    </row>
    <row r="108">
      <c r="A108" s="6" t="n"/>
      <c r="B108" s="6" t="n"/>
      <c r="C108" s="6" t="n"/>
      <c r="D108" s="6" t="n"/>
      <c r="E108" s="6" t="n"/>
      <c r="F108" s="6" t="n"/>
      <c r="G108" s="6" t="n"/>
      <c r="H108" s="6" t="n"/>
      <c r="I108" s="6" t="n"/>
      <c r="J108" s="6" t="n"/>
      <c r="K108" s="6" t="n"/>
      <c r="L108" s="6" t="n"/>
      <c r="M108" s="6" t="n"/>
      <c r="N108" s="6" t="n"/>
      <c r="O108" s="6" t="n"/>
      <c r="P108" s="6" t="n"/>
      <c r="Q108" s="6" t="n"/>
      <c r="R108" s="6" t="n"/>
      <c r="S108" s="6" t="n"/>
      <c r="T108" s="6" t="n"/>
      <c r="U108" s="6" t="n"/>
      <c r="V108" s="6" t="n"/>
      <c r="W108" s="6" t="n"/>
      <c r="X108" s="6" t="n"/>
      <c r="Y108" s="6" t="n"/>
      <c r="Z108" s="6" t="n"/>
    </row>
    <row r="109">
      <c r="A109" s="6" t="n"/>
      <c r="B109" s="6" t="n"/>
      <c r="C109" s="6" t="n"/>
      <c r="D109" s="6" t="n"/>
      <c r="E109" s="6" t="n"/>
      <c r="F109" s="6" t="n"/>
      <c r="G109" s="6" t="n"/>
      <c r="H109" s="6" t="n"/>
      <c r="I109" s="6" t="n"/>
      <c r="J109" s="6" t="n"/>
      <c r="K109" s="6" t="n"/>
      <c r="L109" s="6" t="n"/>
      <c r="M109" s="6" t="n"/>
      <c r="N109" s="6" t="n"/>
      <c r="O109" s="6" t="n"/>
      <c r="P109" s="6" t="n"/>
      <c r="Q109" s="6" t="n"/>
      <c r="R109" s="6" t="n"/>
      <c r="S109" s="6" t="n"/>
      <c r="T109" s="6" t="n"/>
      <c r="U109" s="6" t="n"/>
      <c r="V109" s="6" t="n"/>
      <c r="W109" s="6" t="n"/>
      <c r="X109" s="6" t="n"/>
      <c r="Y109" s="6" t="n"/>
      <c r="Z109" s="6" t="n"/>
    </row>
    <row r="110">
      <c r="A110" s="6" t="n"/>
      <c r="B110" s="6" t="n"/>
      <c r="C110" s="6" t="n"/>
      <c r="D110" s="6" t="n"/>
      <c r="E110" s="6" t="n"/>
      <c r="F110" s="6" t="n"/>
      <c r="G110" s="6" t="n"/>
      <c r="H110" s="6" t="n"/>
      <c r="I110" s="6" t="n"/>
      <c r="J110" s="6" t="n"/>
      <c r="K110" s="6" t="n"/>
      <c r="L110" s="6" t="n"/>
      <c r="M110" s="6" t="n"/>
      <c r="N110" s="6" t="n"/>
      <c r="O110" s="6" t="n"/>
      <c r="P110" s="6" t="n"/>
      <c r="Q110" s="6" t="n"/>
      <c r="R110" s="6" t="n"/>
      <c r="S110" s="6" t="n"/>
      <c r="T110" s="6" t="n"/>
      <c r="U110" s="6" t="n"/>
      <c r="V110" s="6" t="n"/>
      <c r="W110" s="6" t="n"/>
      <c r="X110" s="6" t="n"/>
      <c r="Y110" s="6" t="n"/>
      <c r="Z110" s="6" t="n"/>
    </row>
    <row r="111">
      <c r="A111" s="6" t="n"/>
      <c r="B111" s="6" t="n"/>
      <c r="C111" s="6" t="n"/>
      <c r="D111" s="6" t="n"/>
      <c r="E111" s="6" t="n"/>
      <c r="F111" s="6" t="n"/>
      <c r="G111" s="6" t="n"/>
      <c r="H111" s="6" t="n"/>
      <c r="I111" s="6" t="n"/>
      <c r="J111" s="6" t="n"/>
      <c r="K111" s="6" t="n"/>
      <c r="L111" s="6" t="n"/>
      <c r="M111" s="6" t="n"/>
      <c r="N111" s="6" t="n"/>
      <c r="O111" s="6" t="n"/>
      <c r="P111" s="6" t="n"/>
      <c r="Q111" s="6" t="n"/>
      <c r="R111" s="6" t="n"/>
      <c r="S111" s="6" t="n"/>
      <c r="T111" s="6" t="n"/>
      <c r="U111" s="6" t="n"/>
      <c r="V111" s="6" t="n"/>
      <c r="W111" s="6" t="n"/>
      <c r="X111" s="6" t="n"/>
      <c r="Y111" s="6" t="n"/>
      <c r="Z111" s="6" t="n"/>
    </row>
    <row r="112">
      <c r="A112" s="6" t="n"/>
      <c r="B112" s="6" t="n"/>
      <c r="C112" s="6" t="n"/>
      <c r="D112" s="6" t="n"/>
      <c r="E112" s="6" t="n"/>
      <c r="F112" s="6" t="n"/>
      <c r="G112" s="6" t="n"/>
      <c r="H112" s="6" t="n"/>
      <c r="I112" s="6" t="n"/>
      <c r="J112" s="6" t="n"/>
      <c r="K112" s="6" t="n"/>
      <c r="L112" s="6" t="n"/>
      <c r="M112" s="6" t="n"/>
      <c r="N112" s="6" t="n"/>
      <c r="O112" s="6" t="n"/>
      <c r="P112" s="6" t="n"/>
      <c r="Q112" s="6" t="n"/>
      <c r="R112" s="6" t="n"/>
      <c r="S112" s="6" t="n"/>
      <c r="T112" s="6" t="n"/>
      <c r="U112" s="6" t="n"/>
      <c r="V112" s="6" t="n"/>
      <c r="W112" s="6" t="n"/>
      <c r="X112" s="6" t="n"/>
      <c r="Y112" s="6" t="n"/>
      <c r="Z112" s="6" t="n"/>
    </row>
    <row r="113">
      <c r="A113" s="6" t="n"/>
      <c r="B113" s="6" t="n"/>
      <c r="C113" s="6" t="n"/>
      <c r="D113" s="6" t="n"/>
      <c r="E113" s="6" t="n"/>
      <c r="F113" s="6" t="n"/>
      <c r="G113" s="6" t="n"/>
      <c r="H113" s="6" t="n"/>
      <c r="I113" s="6" t="n"/>
      <c r="J113" s="6" t="n"/>
      <c r="K113" s="6" t="n"/>
      <c r="L113" s="6" t="n"/>
      <c r="M113" s="6" t="n"/>
      <c r="N113" s="6" t="n"/>
      <c r="O113" s="6" t="n"/>
      <c r="P113" s="6" t="n"/>
      <c r="Q113" s="6" t="n"/>
      <c r="R113" s="6" t="n"/>
      <c r="S113" s="6" t="n"/>
      <c r="T113" s="6" t="n"/>
      <c r="U113" s="6" t="n"/>
      <c r="V113" s="6" t="n"/>
      <c r="W113" s="6" t="n"/>
      <c r="X113" s="6" t="n"/>
      <c r="Y113" s="6" t="n"/>
      <c r="Z113" s="6" t="n"/>
    </row>
    <row r="114">
      <c r="A114" s="6" t="n"/>
      <c r="B114" s="6" t="n"/>
      <c r="C114" s="6" t="n"/>
      <c r="D114" s="6" t="n"/>
      <c r="E114" s="6" t="n"/>
      <c r="F114" s="6" t="n"/>
      <c r="G114" s="6" t="n"/>
      <c r="H114" s="6" t="n"/>
      <c r="I114" s="6" t="n"/>
      <c r="J114" s="6" t="n"/>
      <c r="K114" s="6" t="n"/>
      <c r="L114" s="6" t="n"/>
      <c r="M114" s="6" t="n"/>
      <c r="N114" s="6" t="n"/>
      <c r="O114" s="6" t="n"/>
      <c r="P114" s="6" t="n"/>
      <c r="Q114" s="6" t="n"/>
      <c r="R114" s="6" t="n"/>
      <c r="S114" s="6" t="n"/>
      <c r="T114" s="6" t="n"/>
      <c r="U114" s="6" t="n"/>
      <c r="V114" s="6" t="n"/>
      <c r="W114" s="6" t="n"/>
      <c r="X114" s="6" t="n"/>
      <c r="Y114" s="6" t="n"/>
      <c r="Z114" s="6" t="n"/>
    </row>
    <row r="115">
      <c r="A115" s="6" t="n"/>
      <c r="B115" s="6" t="n"/>
      <c r="C115" s="6" t="n"/>
      <c r="D115" s="6" t="n"/>
      <c r="E115" s="6" t="n"/>
      <c r="F115" s="6" t="n"/>
      <c r="G115" s="6" t="n"/>
      <c r="H115" s="6" t="n"/>
      <c r="I115" s="6" t="n"/>
      <c r="J115" s="6" t="n"/>
      <c r="K115" s="6" t="n"/>
      <c r="L115" s="6" t="n"/>
      <c r="M115" s="6" t="n"/>
      <c r="N115" s="6" t="n"/>
      <c r="O115" s="6" t="n"/>
      <c r="P115" s="6" t="n"/>
      <c r="Q115" s="6" t="n"/>
      <c r="R115" s="6" t="n"/>
      <c r="S115" s="6" t="n"/>
      <c r="T115" s="6" t="n"/>
      <c r="U115" s="6" t="n"/>
      <c r="V115" s="6" t="n"/>
      <c r="W115" s="6" t="n"/>
      <c r="X115" s="6" t="n"/>
      <c r="Y115" s="6" t="n"/>
      <c r="Z115" s="6" t="n"/>
    </row>
    <row r="116">
      <c r="A116" s="6" t="n"/>
      <c r="B116" s="6" t="n"/>
      <c r="C116" s="6" t="n"/>
      <c r="D116" s="6" t="n"/>
      <c r="E116" s="6" t="n"/>
      <c r="F116" s="6" t="n"/>
      <c r="G116" s="6" t="n"/>
      <c r="H116" s="6" t="n"/>
      <c r="I116" s="6" t="n"/>
      <c r="J116" s="6" t="n"/>
      <c r="K116" s="6" t="n"/>
      <c r="L116" s="6" t="n"/>
      <c r="M116" s="6" t="n"/>
      <c r="N116" s="6" t="n"/>
      <c r="O116" s="6" t="n"/>
      <c r="P116" s="6" t="n"/>
      <c r="Q116" s="6" t="n"/>
      <c r="R116" s="6" t="n"/>
      <c r="S116" s="6" t="n"/>
      <c r="T116" s="6" t="n"/>
      <c r="U116" s="6" t="n"/>
      <c r="V116" s="6" t="n"/>
      <c r="W116" s="6" t="n"/>
      <c r="X116" s="6" t="n"/>
      <c r="Y116" s="6" t="n"/>
      <c r="Z116" s="6" t="n"/>
    </row>
    <row r="117">
      <c r="A117" s="6" t="n"/>
      <c r="B117" s="6" t="n"/>
      <c r="C117" s="6" t="n"/>
      <c r="D117" s="6" t="n"/>
      <c r="E117" s="6" t="n"/>
      <c r="F117" s="6" t="n"/>
      <c r="G117" s="6" t="n"/>
      <c r="H117" s="6" t="n"/>
      <c r="I117" s="6" t="n"/>
      <c r="J117" s="6" t="n"/>
      <c r="K117" s="6" t="n"/>
      <c r="L117" s="6" t="n"/>
      <c r="M117" s="6" t="n"/>
      <c r="N117" s="6" t="n"/>
      <c r="O117" s="6" t="n"/>
      <c r="P117" s="6" t="n"/>
      <c r="Q117" s="6" t="n"/>
      <c r="R117" s="6" t="n"/>
      <c r="S117" s="6" t="n"/>
      <c r="T117" s="6" t="n"/>
      <c r="U117" s="6" t="n"/>
      <c r="V117" s="6" t="n"/>
      <c r="W117" s="6" t="n"/>
      <c r="X117" s="6" t="n"/>
      <c r="Y117" s="6" t="n"/>
      <c r="Z117" s="6" t="n"/>
    </row>
    <row r="118">
      <c r="A118" s="6" t="n"/>
      <c r="B118" s="6" t="n"/>
      <c r="C118" s="6" t="n"/>
      <c r="D118" s="6" t="n"/>
      <c r="E118" s="6" t="n"/>
      <c r="F118" s="6" t="n"/>
      <c r="G118" s="6" t="n"/>
      <c r="H118" s="6" t="n"/>
      <c r="I118" s="6" t="n"/>
      <c r="J118" s="6" t="n"/>
      <c r="K118" s="6" t="n"/>
      <c r="L118" s="6" t="n"/>
      <c r="M118" s="6" t="n"/>
      <c r="N118" s="6" t="n"/>
      <c r="O118" s="6" t="n"/>
      <c r="P118" s="6" t="n"/>
      <c r="Q118" s="6" t="n"/>
      <c r="R118" s="6" t="n"/>
      <c r="S118" s="6" t="n"/>
      <c r="T118" s="6" t="n"/>
      <c r="U118" s="6" t="n"/>
      <c r="V118" s="6" t="n"/>
      <c r="W118" s="6" t="n"/>
      <c r="X118" s="6" t="n"/>
      <c r="Y118" s="6" t="n"/>
      <c r="Z118" s="6" t="n"/>
    </row>
    <row r="119">
      <c r="A119" s="6" t="n"/>
      <c r="B119" s="6" t="n"/>
      <c r="C119" s="6" t="n"/>
      <c r="D119" s="6" t="n"/>
      <c r="E119" s="6" t="n"/>
      <c r="F119" s="6" t="n"/>
      <c r="G119" s="6" t="n"/>
      <c r="H119" s="6" t="n"/>
      <c r="I119" s="6" t="n"/>
      <c r="J119" s="6" t="n"/>
      <c r="K119" s="6" t="n"/>
      <c r="L119" s="6" t="n"/>
      <c r="M119" s="6" t="n"/>
      <c r="N119" s="6" t="n"/>
      <c r="O119" s="6" t="n"/>
      <c r="P119" s="6" t="n"/>
      <c r="Q119" s="6" t="n"/>
      <c r="R119" s="6" t="n"/>
      <c r="S119" s="6" t="n"/>
      <c r="T119" s="6" t="n"/>
      <c r="U119" s="6" t="n"/>
      <c r="V119" s="6" t="n"/>
      <c r="W119" s="6" t="n"/>
      <c r="X119" s="6" t="n"/>
      <c r="Y119" s="6" t="n"/>
      <c r="Z119" s="6" t="n"/>
    </row>
    <row r="120">
      <c r="A120" s="6" t="n"/>
      <c r="B120" s="6" t="n"/>
      <c r="C120" s="6" t="n"/>
      <c r="D120" s="6" t="n"/>
      <c r="E120" s="6" t="n"/>
      <c r="F120" s="6" t="n"/>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row>
    <row r="121">
      <c r="A121" s="6" t="n"/>
      <c r="B121" s="6" t="n"/>
      <c r="C121" s="6" t="n"/>
      <c r="D121" s="6" t="n"/>
      <c r="E121" s="6" t="n"/>
      <c r="F121" s="6" t="n"/>
      <c r="G121" s="6" t="n"/>
      <c r="H121" s="6" t="n"/>
      <c r="I121" s="6" t="n"/>
      <c r="J121" s="6" t="n"/>
      <c r="K121" s="6" t="n"/>
      <c r="L121" s="6" t="n"/>
      <c r="M121" s="6" t="n"/>
      <c r="N121" s="6" t="n"/>
      <c r="O121" s="6" t="n"/>
      <c r="P121" s="6" t="n"/>
      <c r="Q121" s="6" t="n"/>
      <c r="R121" s="6" t="n"/>
      <c r="S121" s="6" t="n"/>
      <c r="T121" s="6" t="n"/>
      <c r="U121" s="6" t="n"/>
      <c r="V121" s="6" t="n"/>
      <c r="W121" s="6" t="n"/>
      <c r="X121" s="6" t="n"/>
      <c r="Y121" s="6" t="n"/>
      <c r="Z121" s="6" t="n"/>
    </row>
    <row r="122">
      <c r="A122" s="6" t="n"/>
      <c r="B122" s="6" t="n"/>
      <c r="C122" s="6" t="n"/>
      <c r="D122" s="6" t="n"/>
      <c r="E122" s="6" t="n"/>
      <c r="F122" s="6" t="n"/>
      <c r="G122" s="6" t="n"/>
      <c r="H122" s="6" t="n"/>
      <c r="I122" s="6" t="n"/>
      <c r="J122" s="6" t="n"/>
      <c r="K122" s="6" t="n"/>
      <c r="L122" s="6" t="n"/>
      <c r="M122" s="6" t="n"/>
      <c r="N122" s="6" t="n"/>
      <c r="O122" s="6" t="n"/>
      <c r="P122" s="6" t="n"/>
      <c r="Q122" s="6" t="n"/>
      <c r="R122" s="6" t="n"/>
      <c r="S122" s="6" t="n"/>
      <c r="T122" s="6" t="n"/>
      <c r="U122" s="6" t="n"/>
      <c r="V122" s="6" t="n"/>
      <c r="W122" s="6" t="n"/>
      <c r="X122" s="6" t="n"/>
      <c r="Y122" s="6" t="n"/>
      <c r="Z122" s="6" t="n"/>
    </row>
    <row r="123">
      <c r="A123" s="6" t="n"/>
      <c r="B123" s="6" t="n"/>
      <c r="C123" s="6" t="n"/>
      <c r="D123" s="6" t="n"/>
      <c r="E123" s="6" t="n"/>
      <c r="F123" s="6" t="n"/>
      <c r="G123" s="6" t="n"/>
      <c r="H123" s="6" t="n"/>
      <c r="I123" s="6" t="n"/>
      <c r="J123" s="6" t="n"/>
      <c r="K123" s="6" t="n"/>
      <c r="L123" s="6" t="n"/>
      <c r="M123" s="6" t="n"/>
      <c r="N123" s="6" t="n"/>
      <c r="O123" s="6" t="n"/>
      <c r="P123" s="6" t="n"/>
      <c r="Q123" s="6" t="n"/>
      <c r="R123" s="6" t="n"/>
      <c r="S123" s="6" t="n"/>
      <c r="T123" s="6" t="n"/>
      <c r="U123" s="6" t="n"/>
      <c r="V123" s="6" t="n"/>
      <c r="W123" s="6" t="n"/>
      <c r="X123" s="6" t="n"/>
      <c r="Y123" s="6" t="n"/>
      <c r="Z123" s="6" t="n"/>
    </row>
    <row r="124">
      <c r="A124" s="6" t="n"/>
      <c r="B124" s="6" t="n"/>
      <c r="C124" s="6" t="n"/>
      <c r="D124" s="6" t="n"/>
      <c r="E124" s="6" t="n"/>
      <c r="F124" s="6" t="n"/>
      <c r="G124" s="6" t="n"/>
      <c r="H124" s="6" t="n"/>
      <c r="I124" s="6" t="n"/>
      <c r="J124" s="6" t="n"/>
      <c r="K124" s="6" t="n"/>
      <c r="L124" s="6" t="n"/>
      <c r="M124" s="6" t="n"/>
      <c r="N124" s="6" t="n"/>
      <c r="O124" s="6" t="n"/>
      <c r="P124" s="6" t="n"/>
      <c r="Q124" s="6" t="n"/>
      <c r="R124" s="6" t="n"/>
      <c r="S124" s="6" t="n"/>
      <c r="T124" s="6" t="n"/>
      <c r="U124" s="6" t="n"/>
      <c r="V124" s="6" t="n"/>
      <c r="W124" s="6" t="n"/>
      <c r="X124" s="6" t="n"/>
      <c r="Y124" s="6" t="n"/>
      <c r="Z124" s="6" t="n"/>
    </row>
    <row r="125">
      <c r="A125" s="6" t="n"/>
      <c r="B125" s="6" t="n"/>
      <c r="C125" s="6" t="n"/>
      <c r="D125" s="6" t="n"/>
      <c r="E125" s="6" t="n"/>
      <c r="F125" s="6" t="n"/>
      <c r="G125" s="6" t="n"/>
      <c r="H125" s="6" t="n"/>
      <c r="I125" s="6" t="n"/>
      <c r="J125" s="6" t="n"/>
      <c r="K125" s="6" t="n"/>
      <c r="L125" s="6" t="n"/>
      <c r="M125" s="6" t="n"/>
      <c r="N125" s="6" t="n"/>
      <c r="O125" s="6" t="n"/>
      <c r="P125" s="6" t="n"/>
      <c r="Q125" s="6" t="n"/>
      <c r="R125" s="6" t="n"/>
      <c r="S125" s="6" t="n"/>
      <c r="T125" s="6" t="n"/>
      <c r="U125" s="6" t="n"/>
      <c r="V125" s="6" t="n"/>
      <c r="W125" s="6" t="n"/>
      <c r="X125" s="6" t="n"/>
      <c r="Y125" s="6" t="n"/>
      <c r="Z125" s="6" t="n"/>
    </row>
    <row r="126">
      <c r="A126" s="6" t="n"/>
      <c r="B126" s="6" t="n"/>
      <c r="C126" s="6" t="n"/>
      <c r="D126" s="6" t="n"/>
      <c r="E126" s="6" t="n"/>
      <c r="F126" s="6" t="n"/>
      <c r="G126" s="6" t="n"/>
      <c r="H126" s="6" t="n"/>
      <c r="I126" s="6" t="n"/>
      <c r="J126" s="6" t="n"/>
      <c r="K126" s="6" t="n"/>
      <c r="L126" s="6" t="n"/>
      <c r="M126" s="6" t="n"/>
      <c r="N126" s="6" t="n"/>
      <c r="O126" s="6" t="n"/>
      <c r="P126" s="6" t="n"/>
      <c r="Q126" s="6" t="n"/>
      <c r="R126" s="6" t="n"/>
      <c r="S126" s="6" t="n"/>
      <c r="T126" s="6" t="n"/>
      <c r="U126" s="6" t="n"/>
      <c r="V126" s="6" t="n"/>
      <c r="W126" s="6" t="n"/>
      <c r="X126" s="6" t="n"/>
      <c r="Y126" s="6" t="n"/>
      <c r="Z126" s="6" t="n"/>
    </row>
    <row r="127">
      <c r="A127" s="6" t="n"/>
      <c r="B127" s="6" t="n"/>
      <c r="C127" s="6" t="n"/>
      <c r="D127" s="6" t="n"/>
      <c r="E127" s="6" t="n"/>
      <c r="F127" s="6" t="n"/>
      <c r="G127" s="6" t="n"/>
      <c r="H127" s="6" t="n"/>
      <c r="I127" s="6" t="n"/>
      <c r="J127" s="6" t="n"/>
      <c r="K127" s="6" t="n"/>
      <c r="L127" s="6" t="n"/>
      <c r="M127" s="6" t="n"/>
      <c r="N127" s="6" t="n"/>
      <c r="O127" s="6" t="n"/>
      <c r="P127" s="6" t="n"/>
      <c r="Q127" s="6" t="n"/>
      <c r="R127" s="6" t="n"/>
      <c r="S127" s="6" t="n"/>
      <c r="T127" s="6" t="n"/>
      <c r="U127" s="6" t="n"/>
      <c r="V127" s="6" t="n"/>
      <c r="W127" s="6" t="n"/>
      <c r="X127" s="6" t="n"/>
      <c r="Y127" s="6" t="n"/>
      <c r="Z127" s="6" t="n"/>
    </row>
    <row r="128">
      <c r="A128" s="6" t="n"/>
      <c r="B128" s="6" t="n"/>
      <c r="C128" s="6" t="n"/>
      <c r="D128" s="6" t="n"/>
      <c r="E128" s="6" t="n"/>
      <c r="F128" s="6" t="n"/>
      <c r="G128" s="6" t="n"/>
      <c r="H128" s="6" t="n"/>
      <c r="I128" s="6" t="n"/>
      <c r="J128" s="6" t="n"/>
      <c r="K128" s="6" t="n"/>
      <c r="L128" s="6" t="n"/>
      <c r="M128" s="6" t="n"/>
      <c r="N128" s="6" t="n"/>
      <c r="O128" s="6" t="n"/>
      <c r="P128" s="6" t="n"/>
      <c r="Q128" s="6" t="n"/>
      <c r="R128" s="6" t="n"/>
      <c r="S128" s="6" t="n"/>
      <c r="T128" s="6" t="n"/>
      <c r="U128" s="6" t="n"/>
      <c r="V128" s="6" t="n"/>
      <c r="W128" s="6" t="n"/>
      <c r="X128" s="6" t="n"/>
      <c r="Y128" s="6" t="n"/>
      <c r="Z128" s="6" t="n"/>
    </row>
    <row r="129">
      <c r="A129" s="6" t="n"/>
      <c r="B129" s="6" t="n"/>
      <c r="C129" s="6" t="n"/>
      <c r="D129" s="6" t="n"/>
      <c r="E129" s="6" t="n"/>
      <c r="F129" s="6" t="n"/>
      <c r="G129" s="6" t="n"/>
      <c r="H129" s="6" t="n"/>
      <c r="I129" s="6" t="n"/>
      <c r="J129" s="6" t="n"/>
      <c r="K129" s="6" t="n"/>
      <c r="L129" s="6" t="n"/>
      <c r="M129" s="6" t="n"/>
      <c r="N129" s="6" t="n"/>
      <c r="O129" s="6" t="n"/>
      <c r="P129" s="6" t="n"/>
      <c r="Q129" s="6" t="n"/>
      <c r="R129" s="6" t="n"/>
      <c r="S129" s="6" t="n"/>
      <c r="T129" s="6" t="n"/>
      <c r="U129" s="6" t="n"/>
      <c r="V129" s="6" t="n"/>
      <c r="W129" s="6" t="n"/>
      <c r="X129" s="6" t="n"/>
      <c r="Y129" s="6" t="n"/>
      <c r="Z129" s="6" t="n"/>
    </row>
    <row r="130">
      <c r="A130" s="6" t="n"/>
      <c r="B130" s="6" t="n"/>
      <c r="C130" s="6" t="n"/>
      <c r="D130" s="6" t="n"/>
      <c r="E130" s="6" t="n"/>
      <c r="F130" s="6" t="n"/>
      <c r="G130" s="6" t="n"/>
      <c r="H130" s="6" t="n"/>
      <c r="I130" s="6" t="n"/>
      <c r="J130" s="6" t="n"/>
      <c r="K130" s="6" t="n"/>
      <c r="L130" s="6" t="n"/>
      <c r="M130" s="6" t="n"/>
      <c r="N130" s="6" t="n"/>
      <c r="O130" s="6" t="n"/>
      <c r="P130" s="6" t="n"/>
      <c r="Q130" s="6" t="n"/>
      <c r="R130" s="6" t="n"/>
      <c r="S130" s="6" t="n"/>
      <c r="T130" s="6" t="n"/>
      <c r="U130" s="6" t="n"/>
      <c r="V130" s="6" t="n"/>
      <c r="W130" s="6" t="n"/>
      <c r="X130" s="6" t="n"/>
      <c r="Y130" s="6" t="n"/>
      <c r="Z130" s="6" t="n"/>
    </row>
    <row r="131">
      <c r="A131" s="6" t="n"/>
      <c r="B131" s="6" t="n"/>
      <c r="C131" s="6" t="n"/>
      <c r="D131" s="6" t="n"/>
      <c r="E131" s="6" t="n"/>
      <c r="F131" s="6" t="n"/>
      <c r="G131" s="6" t="n"/>
      <c r="H131" s="6" t="n"/>
      <c r="I131" s="6" t="n"/>
      <c r="J131" s="6" t="n"/>
      <c r="K131" s="6" t="n"/>
      <c r="L131" s="6" t="n"/>
      <c r="M131" s="6" t="n"/>
      <c r="N131" s="6" t="n"/>
      <c r="O131" s="6" t="n"/>
      <c r="P131" s="6" t="n"/>
      <c r="Q131" s="6" t="n"/>
      <c r="R131" s="6" t="n"/>
      <c r="S131" s="6" t="n"/>
      <c r="T131" s="6" t="n"/>
      <c r="U131" s="6" t="n"/>
      <c r="V131" s="6" t="n"/>
      <c r="W131" s="6" t="n"/>
      <c r="X131" s="6" t="n"/>
      <c r="Y131" s="6" t="n"/>
      <c r="Z131" s="6" t="n"/>
    </row>
    <row r="132">
      <c r="A132" s="6" t="n"/>
      <c r="B132" s="6" t="n"/>
      <c r="C132" s="6" t="n"/>
      <c r="D132" s="6" t="n"/>
      <c r="E132" s="6" t="n"/>
      <c r="F132" s="6" t="n"/>
      <c r="G132" s="6" t="n"/>
      <c r="H132" s="6" t="n"/>
      <c r="I132" s="6" t="n"/>
      <c r="J132" s="6" t="n"/>
      <c r="K132" s="6" t="n"/>
      <c r="L132" s="6" t="n"/>
      <c r="M132" s="6" t="n"/>
      <c r="N132" s="6" t="n"/>
      <c r="O132" s="6" t="n"/>
      <c r="P132" s="6" t="n"/>
      <c r="Q132" s="6" t="n"/>
      <c r="R132" s="6" t="n"/>
      <c r="S132" s="6" t="n"/>
      <c r="T132" s="6" t="n"/>
      <c r="U132" s="6" t="n"/>
      <c r="V132" s="6" t="n"/>
      <c r="W132" s="6" t="n"/>
      <c r="X132" s="6" t="n"/>
      <c r="Y132" s="6" t="n"/>
      <c r="Z132" s="6" t="n"/>
    </row>
    <row r="133">
      <c r="A133" s="6" t="n"/>
      <c r="B133" s="6" t="n"/>
      <c r="C133" s="6" t="n"/>
      <c r="D133" s="6" t="n"/>
      <c r="E133" s="6" t="n"/>
      <c r="F133" s="6" t="n"/>
      <c r="G133" s="6" t="n"/>
      <c r="H133" s="6" t="n"/>
      <c r="I133" s="6" t="n"/>
      <c r="J133" s="6" t="n"/>
      <c r="K133" s="6" t="n"/>
      <c r="L133" s="6" t="n"/>
      <c r="M133" s="6" t="n"/>
      <c r="N133" s="6" t="n"/>
      <c r="O133" s="6" t="n"/>
      <c r="P133" s="6" t="n"/>
      <c r="Q133" s="6" t="n"/>
      <c r="R133" s="6" t="n"/>
      <c r="S133" s="6" t="n"/>
      <c r="T133" s="6" t="n"/>
      <c r="U133" s="6" t="n"/>
      <c r="V133" s="6" t="n"/>
      <c r="W133" s="6" t="n"/>
      <c r="X133" s="6" t="n"/>
      <c r="Y133" s="6" t="n"/>
      <c r="Z133" s="6" t="n"/>
    </row>
    <row r="134">
      <c r="A134" s="6" t="n"/>
      <c r="B134" s="6" t="n"/>
      <c r="C134" s="6" t="n"/>
      <c r="D134" s="6" t="n"/>
      <c r="E134" s="6" t="n"/>
      <c r="F134" s="6" t="n"/>
      <c r="G134" s="6" t="n"/>
      <c r="H134" s="6" t="n"/>
      <c r="I134" s="6" t="n"/>
      <c r="J134" s="6" t="n"/>
      <c r="K134" s="6" t="n"/>
      <c r="L134" s="6" t="n"/>
      <c r="M134" s="6" t="n"/>
      <c r="N134" s="6" t="n"/>
      <c r="O134" s="6" t="n"/>
      <c r="P134" s="6" t="n"/>
      <c r="Q134" s="6" t="n"/>
      <c r="R134" s="6" t="n"/>
      <c r="S134" s="6" t="n"/>
      <c r="T134" s="6" t="n"/>
      <c r="U134" s="6" t="n"/>
      <c r="V134" s="6" t="n"/>
      <c r="W134" s="6" t="n"/>
      <c r="X134" s="6" t="n"/>
      <c r="Y134" s="6" t="n"/>
      <c r="Z134" s="6" t="n"/>
    </row>
    <row r="135">
      <c r="A135" s="6" t="n"/>
      <c r="B135" s="6" t="n"/>
      <c r="C135" s="6" t="n"/>
      <c r="D135" s="6" t="n"/>
      <c r="E135" s="6" t="n"/>
      <c r="F135" s="6" t="n"/>
      <c r="G135" s="6" t="n"/>
      <c r="H135" s="6" t="n"/>
      <c r="I135" s="6" t="n"/>
      <c r="J135" s="6" t="n"/>
      <c r="K135" s="6" t="n"/>
      <c r="L135" s="6" t="n"/>
      <c r="M135" s="6" t="n"/>
      <c r="N135" s="6" t="n"/>
      <c r="O135" s="6" t="n"/>
      <c r="P135" s="6" t="n"/>
      <c r="Q135" s="6" t="n"/>
      <c r="R135" s="6" t="n"/>
      <c r="S135" s="6" t="n"/>
      <c r="T135" s="6" t="n"/>
      <c r="U135" s="6" t="n"/>
      <c r="V135" s="6" t="n"/>
      <c r="W135" s="6" t="n"/>
      <c r="X135" s="6" t="n"/>
      <c r="Y135" s="6" t="n"/>
      <c r="Z135" s="6" t="n"/>
    </row>
    <row r="136">
      <c r="A136" s="6" t="n"/>
      <c r="B136" s="6" t="n"/>
      <c r="C136" s="6" t="n"/>
      <c r="D136" s="6" t="n"/>
      <c r="E136" s="6" t="n"/>
      <c r="F136" s="6" t="n"/>
      <c r="G136" s="6" t="n"/>
      <c r="H136" s="6" t="n"/>
      <c r="I136" s="6" t="n"/>
      <c r="J136" s="6" t="n"/>
      <c r="K136" s="6" t="n"/>
      <c r="L136" s="6" t="n"/>
      <c r="M136" s="6" t="n"/>
      <c r="N136" s="6" t="n"/>
      <c r="O136" s="6" t="n"/>
      <c r="P136" s="6" t="n"/>
      <c r="Q136" s="6" t="n"/>
      <c r="R136" s="6" t="n"/>
      <c r="S136" s="6" t="n"/>
      <c r="T136" s="6" t="n"/>
      <c r="U136" s="6" t="n"/>
      <c r="V136" s="6" t="n"/>
      <c r="W136" s="6" t="n"/>
      <c r="X136" s="6" t="n"/>
      <c r="Y136" s="6" t="n"/>
      <c r="Z136" s="6" t="n"/>
    </row>
    <row r="137">
      <c r="A137" s="6" t="n"/>
      <c r="B137" s="6" t="n"/>
      <c r="C137" s="6" t="n"/>
      <c r="D137" s="6" t="n"/>
      <c r="E137" s="6" t="n"/>
      <c r="F137" s="6" t="n"/>
      <c r="G137" s="6" t="n"/>
      <c r="H137" s="6" t="n"/>
      <c r="I137" s="6" t="n"/>
      <c r="J137" s="6" t="n"/>
      <c r="K137" s="6" t="n"/>
      <c r="L137" s="6" t="n"/>
      <c r="M137" s="6" t="n"/>
      <c r="N137" s="6" t="n"/>
      <c r="O137" s="6" t="n"/>
      <c r="P137" s="6" t="n"/>
      <c r="Q137" s="6" t="n"/>
      <c r="R137" s="6" t="n"/>
      <c r="S137" s="6" t="n"/>
      <c r="T137" s="6" t="n"/>
      <c r="U137" s="6" t="n"/>
      <c r="V137" s="6" t="n"/>
      <c r="W137" s="6" t="n"/>
      <c r="X137" s="6" t="n"/>
      <c r="Y137" s="6" t="n"/>
      <c r="Z137" s="6" t="n"/>
    </row>
    <row r="138">
      <c r="A138" s="6" t="n"/>
      <c r="B138" s="6" t="n"/>
      <c r="C138" s="6" t="n"/>
      <c r="D138" s="6" t="n"/>
      <c r="E138" s="6" t="n"/>
      <c r="F138" s="6" t="n"/>
      <c r="G138" s="6" t="n"/>
      <c r="H138" s="6" t="n"/>
      <c r="I138" s="6" t="n"/>
      <c r="J138" s="6" t="n"/>
      <c r="K138" s="6" t="n"/>
      <c r="L138" s="6" t="n"/>
      <c r="M138" s="6" t="n"/>
      <c r="N138" s="6" t="n"/>
      <c r="O138" s="6" t="n"/>
      <c r="P138" s="6" t="n"/>
      <c r="Q138" s="6" t="n"/>
      <c r="R138" s="6" t="n"/>
      <c r="S138" s="6" t="n"/>
      <c r="T138" s="6" t="n"/>
      <c r="U138" s="6" t="n"/>
      <c r="V138" s="6" t="n"/>
      <c r="W138" s="6" t="n"/>
      <c r="X138" s="6" t="n"/>
      <c r="Y138" s="6" t="n"/>
      <c r="Z138" s="6" t="n"/>
    </row>
    <row r="139">
      <c r="A139" s="6" t="n"/>
      <c r="B139" s="6" t="n"/>
      <c r="C139" s="6" t="n"/>
      <c r="D139" s="6" t="n"/>
      <c r="E139" s="6" t="n"/>
      <c r="F139" s="6" t="n"/>
      <c r="G139" s="6" t="n"/>
      <c r="H139" s="6" t="n"/>
      <c r="I139" s="6" t="n"/>
      <c r="J139" s="6" t="n"/>
      <c r="K139" s="6" t="n"/>
      <c r="L139" s="6" t="n"/>
      <c r="M139" s="6" t="n"/>
      <c r="N139" s="6" t="n"/>
      <c r="O139" s="6" t="n"/>
      <c r="P139" s="6" t="n"/>
      <c r="Q139" s="6" t="n"/>
      <c r="R139" s="6" t="n"/>
      <c r="S139" s="6" t="n"/>
      <c r="T139" s="6" t="n"/>
      <c r="U139" s="6" t="n"/>
      <c r="V139" s="6" t="n"/>
      <c r="W139" s="6" t="n"/>
      <c r="X139" s="6" t="n"/>
      <c r="Y139" s="6" t="n"/>
      <c r="Z139" s="6" t="n"/>
    </row>
  </sheetData>
  <mergeCells count="31">
    <mergeCell ref="L48:P48"/>
    <mergeCell ref="L32:P32"/>
    <mergeCell ref="L28:P28"/>
    <mergeCell ref="L37:P37"/>
    <mergeCell ref="L47:P47"/>
    <mergeCell ref="L43:P43"/>
    <mergeCell ref="L33:P33"/>
    <mergeCell ref="L24:P24"/>
    <mergeCell ref="L42:P42"/>
    <mergeCell ref="L23:P23"/>
    <mergeCell ref="L39:P39"/>
    <mergeCell ref="L30:P30"/>
    <mergeCell ref="L45:P45"/>
    <mergeCell ref="L35:P35"/>
    <mergeCell ref="L26:P26"/>
    <mergeCell ref="L29:P29"/>
    <mergeCell ref="L51:P51"/>
    <mergeCell ref="L38:P38"/>
    <mergeCell ref="L25:P25"/>
    <mergeCell ref="L50:P50"/>
    <mergeCell ref="L44:P44"/>
    <mergeCell ref="L41:P41"/>
    <mergeCell ref="L22:P22"/>
    <mergeCell ref="L31:P31"/>
    <mergeCell ref="L34:P34"/>
    <mergeCell ref="L40:P40"/>
    <mergeCell ref="L52:P52"/>
    <mergeCell ref="L49:P49"/>
    <mergeCell ref="L46:P46"/>
    <mergeCell ref="L36:P36"/>
    <mergeCell ref="L27:P27"/>
  </mergeCells>
  <conditionalFormatting sqref="G7:G16">
    <cfRule type="dataBar" priority="1">
      <dataBar showValue="1">
        <cfvo type="num" val="0"/>
        <cfvo type="num" val="1"/>
        <color rgb="001F6FB2"/>
      </dataBar>
    </cfRule>
    <cfRule type="expression" priority="2" dxfId="0">
      <formula>AND(G7&lt;&gt;"",G7&lt;0.3)</formula>
    </cfRule>
  </conditionalFormatting>
  <conditionalFormatting sqref="P7:P16">
    <cfRule type="dataBar" priority="3">
      <dataBar showValue="1">
        <cfvo type="num" val="0"/>
        <cfvo type="num" val="1"/>
        <color rgb="001F6FB2"/>
      </dataBar>
    </cfRule>
  </conditionalFormatting>
  <conditionalFormatting sqref="Q7:Q16">
    <cfRule type="dataBar" priority="4">
      <dataBar showValue="1">
        <cfvo type="num" val="0"/>
        <cfvo type="num" val="1"/>
        <color rgb="002A9D8F"/>
      </dataBar>
    </cfRule>
  </conditionalFormatting>
  <conditionalFormatting sqref="S7:S16">
    <cfRule type="dataBar" priority="5">
      <dataBar showValue="1">
        <cfvo type="num" val="0"/>
        <cfvo type="num" val="1"/>
        <color rgb="007B5EA7"/>
      </dataBar>
    </cfRule>
  </conditionalFormatting>
  <pageMargins left="0.75" right="0.75" top="1" bottom="1" header="0.5" footer="0.5"/>
  <pageSetup orientation="landscape" fitToHeight="0" fitToWidth="1"/>
  <drawing xmlns:r="http://schemas.openxmlformats.org/officeDocument/2006/relationships" r:id="rId1"/>
</worksheet>
</file>

<file path=xl/worksheets/sheet3.xml><?xml version="1.0" encoding="utf-8"?>
<worksheet xmlns="http://schemas.openxmlformats.org/spreadsheetml/2006/main">
  <sheetPr>
    <tabColor rgb="007B5EA7"/>
    <outlinePr summaryBelow="1" summaryRight="1"/>
    <pageSetUpPr fitToPage="1"/>
  </sheetPr>
  <dimension ref="A1:Z139"/>
  <sheetViews>
    <sheetView showGridLines="0" tabSelected="0" zoomScale="90" workbookViewId="0">
      <selection activeCell="A1" sqref="A1"/>
    </sheetView>
  </sheetViews>
  <sheetFormatPr baseColWidth="8" defaultRowHeight="15"/>
  <cols>
    <col width="2"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s>
  <sheetData>
    <row r="1" ht="30" customHeight="1">
      <c r="A1" s="6" t="n"/>
      <c r="B1" s="7">
        <f>"OPS readiness – report "&amp;TEXT(DATEVALUE('Thong tin'!$A$2),"d mmm yyyy")</f>
        <v/>
      </c>
      <c r="C1" s="6" t="n"/>
      <c r="D1" s="6" t="n"/>
      <c r="E1" s="6" t="n"/>
      <c r="F1" s="6" t="n"/>
      <c r="G1" s="6" t="n"/>
      <c r="H1" s="6" t="n"/>
      <c r="I1" s="6" t="n"/>
      <c r="J1" s="6" t="n"/>
      <c r="K1" s="6" t="n"/>
      <c r="L1" s="6" t="n"/>
      <c r="M1" s="6" t="n"/>
      <c r="N1" s="6" t="n"/>
      <c r="O1" s="6" t="n"/>
      <c r="P1" s="6" t="n"/>
      <c r="Q1" s="6" t="n"/>
      <c r="R1" s="6" t="n"/>
      <c r="S1" s="6" t="n"/>
      <c r="T1" s="6" t="n"/>
      <c r="U1" s="6" t="n"/>
      <c r="V1" s="6" t="n"/>
      <c r="W1" s="6" t="n"/>
      <c r="X1" s="6" t="n"/>
      <c r="Y1" s="6" t="n"/>
      <c r="Z1" s="6" t="n"/>
    </row>
    <row r="2">
      <c r="A2" s="6" t="n"/>
      <c r="B2" s="8" t="inlineStr">
        <is>
          <t>ORR checklist: group totals, progress by OPS team and by checklist element.</t>
        </is>
      </c>
      <c r="C2" s="6" t="n"/>
      <c r="D2" s="6" t="n"/>
      <c r="E2" s="6" t="n"/>
      <c r="F2" s="6" t="n"/>
      <c r="G2" s="6" t="n"/>
      <c r="H2" s="6" t="n"/>
      <c r="I2" s="6" t="n"/>
      <c r="J2" s="6" t="n"/>
      <c r="K2" s="6" t="n"/>
      <c r="L2" s="6" t="n"/>
      <c r="M2" s="6" t="n"/>
      <c r="N2" s="6" t="n"/>
      <c r="O2" s="6" t="n"/>
      <c r="P2" s="6" t="n"/>
      <c r="Q2" s="6" t="n"/>
      <c r="R2" s="6" t="n"/>
      <c r="S2" s="6" t="n"/>
      <c r="T2" s="6" t="n"/>
      <c r="U2" s="6" t="n"/>
      <c r="V2" s="6" t="n"/>
      <c r="W2" s="6" t="n"/>
      <c r="X2" s="6" t="n"/>
      <c r="Y2" s="6" t="n"/>
      <c r="Z2" s="6" t="n"/>
    </row>
    <row r="3">
      <c r="A3" s="6" t="n"/>
      <c r="B3" s="6" t="n"/>
      <c r="C3" s="6" t="n"/>
      <c r="D3" s="6" t="n"/>
      <c r="E3" s="6" t="n"/>
      <c r="F3" s="6" t="n"/>
      <c r="G3" s="6" t="n"/>
      <c r="H3" s="6" t="n"/>
      <c r="I3" s="6" t="n"/>
      <c r="J3" s="6" t="n"/>
      <c r="K3" s="6" t="n"/>
      <c r="L3" s="6" t="n"/>
      <c r="M3" s="6" t="n"/>
      <c r="N3" s="6" t="n"/>
      <c r="O3" s="6" t="n"/>
      <c r="P3" s="6" t="n"/>
      <c r="Q3" s="6" t="n"/>
      <c r="R3" s="6" t="n"/>
      <c r="S3" s="6" t="n"/>
      <c r="T3" s="6" t="n"/>
      <c r="U3" s="6" t="n"/>
      <c r="V3" s="6" t="n"/>
      <c r="W3" s="6" t="n"/>
      <c r="X3" s="6" t="n"/>
      <c r="Y3" s="6" t="n"/>
      <c r="Z3" s="6" t="n"/>
    </row>
    <row r="4" ht="16" customHeight="1">
      <c r="A4" s="6" t="n"/>
      <c r="B4" s="10">
        <f>"Whole checklist · "&amp;INDEX('ORR tong nhom'!$B$2:$B$300,MATCH("TOTAL",'ORR tong nhom'!$A$2:$A$300,0))&amp;" items"</f>
        <v/>
      </c>
      <c r="C4" s="11" t="n"/>
      <c r="D4" s="11" t="n"/>
      <c r="E4" s="12" t="n"/>
      <c r="F4" s="10">
        <f>"People · "&amp;INDEX('ORR tong nhom'!$B$2:$B$300,MATCH("PEOPLE",'ORR tong nhom'!$A$2:$A$300,0))&amp;" items"</f>
        <v/>
      </c>
      <c r="G4" s="11" t="n"/>
      <c r="H4" s="11" t="n"/>
      <c r="I4" s="12" t="n"/>
      <c r="J4" s="10">
        <f>"Plant · "&amp;INDEX('ORR tong nhom'!$B$2:$B$300,MATCH("PLANT",'ORR tong nhom'!$A$2:$A$300,0))&amp;" items"</f>
        <v/>
      </c>
      <c r="K4" s="11" t="n"/>
      <c r="L4" s="11" t="n"/>
      <c r="M4" s="12" t="n"/>
      <c r="N4" s="10">
        <f>"Process · "&amp;INDEX('ORR tong nhom'!$B$2:$B$300,MATCH("PROCESS",'ORR tong nhom'!$A$2:$A$300,0))&amp;" items"</f>
        <v/>
      </c>
      <c r="O4" s="11" t="n"/>
      <c r="P4" s="11" t="n"/>
      <c r="Q4" s="12" t="n"/>
      <c r="R4" s="6" t="n"/>
      <c r="S4" s="6" t="n"/>
      <c r="T4" s="6" t="n"/>
      <c r="U4" s="6" t="n"/>
      <c r="V4" s="6" t="n"/>
      <c r="W4" s="6" t="n"/>
      <c r="X4" s="6" t="n"/>
      <c r="Y4" s="6" t="n"/>
      <c r="Z4" s="6" t="n"/>
    </row>
    <row r="5" ht="34" customHeight="1">
      <c r="A5" s="6" t="n"/>
      <c r="B5" s="16">
        <f>INDEX('ORR tong nhom'!$C$2:$C$300,MATCH("TOTAL",'ORR tong nhom'!$A$2:$A$300,0))/100</f>
        <v/>
      </c>
      <c r="C5" s="14" t="n"/>
      <c r="D5" s="14" t="n"/>
      <c r="E5" s="15" t="n"/>
      <c r="F5" s="16">
        <f>INDEX('ORR tong nhom'!$C$2:$C$300,MATCH("PEOPLE",'ORR tong nhom'!$A$2:$A$300,0))/100</f>
        <v/>
      </c>
      <c r="G5" s="14" t="n"/>
      <c r="H5" s="14" t="n"/>
      <c r="I5" s="15" t="n"/>
      <c r="J5" s="16">
        <f>INDEX('ORR tong nhom'!$C$2:$C$300,MATCH("PLANT",'ORR tong nhom'!$A$2:$A$300,0))/100</f>
        <v/>
      </c>
      <c r="K5" s="14" t="n"/>
      <c r="L5" s="14" t="n"/>
      <c r="M5" s="15" t="n"/>
      <c r="N5" s="16">
        <f>INDEX('ORR tong nhom'!$C$2:$C$300,MATCH("PROCESS",'ORR tong nhom'!$A$2:$A$300,0))/100</f>
        <v/>
      </c>
      <c r="O5" s="14" t="n"/>
      <c r="P5" s="14" t="n"/>
      <c r="Q5" s="15" t="n"/>
      <c r="R5" s="6" t="n"/>
      <c r="S5" s="6" t="n"/>
      <c r="T5" s="6" t="n"/>
      <c r="U5" s="6" t="n"/>
      <c r="V5" s="6" t="n"/>
      <c r="W5" s="6" t="n"/>
      <c r="X5" s="6" t="n"/>
      <c r="Y5" s="6" t="n"/>
      <c r="Z5" s="6" t="n"/>
    </row>
    <row r="6" ht="30" customHeight="1">
      <c r="A6" s="6" t="n"/>
      <c r="B6" s="19" t="n"/>
      <c r="C6" s="20" t="n"/>
      <c r="D6" s="20" t="n"/>
      <c r="E6" s="21" t="n"/>
      <c r="F6" s="19" t="n"/>
      <c r="G6" s="20" t="n"/>
      <c r="H6" s="20" t="n"/>
      <c r="I6" s="21" t="n"/>
      <c r="J6" s="19" t="n"/>
      <c r="K6" s="20" t="n"/>
      <c r="L6" s="20" t="n"/>
      <c r="M6" s="21" t="n"/>
      <c r="N6" s="19" t="n"/>
      <c r="O6" s="20" t="n"/>
      <c r="P6" s="20" t="n"/>
      <c r="Q6" s="21" t="n"/>
      <c r="R6" s="6" t="n"/>
      <c r="S6" s="6" t="n"/>
      <c r="T6" s="6" t="n"/>
      <c r="U6" s="6" t="n"/>
      <c r="V6" s="6" t="n"/>
      <c r="W6" s="6" t="n"/>
      <c r="X6" s="6" t="n"/>
      <c r="Y6" s="6" t="n"/>
      <c r="Z6" s="6" t="n"/>
    </row>
    <row r="7">
      <c r="A7" s="6" t="n"/>
      <c r="B7" s="6" t="n"/>
      <c r="C7" s="6" t="n"/>
      <c r="D7" s="6" t="n"/>
      <c r="E7" s="6" t="n"/>
      <c r="F7" s="6" t="n"/>
      <c r="G7" s="6" t="n"/>
      <c r="H7" s="6" t="n"/>
      <c r="I7" s="6" t="n"/>
      <c r="J7" s="6" t="n"/>
      <c r="K7" s="6" t="n"/>
      <c r="L7" s="6" t="n"/>
      <c r="M7" s="6" t="n"/>
      <c r="N7" s="6" t="n"/>
      <c r="O7" s="6" t="n"/>
      <c r="P7" s="6" t="n"/>
      <c r="Q7" s="6" t="n"/>
      <c r="R7" s="6" t="n"/>
      <c r="S7" s="6" t="n"/>
      <c r="T7" s="6" t="n"/>
      <c r="U7" s="6" t="n"/>
      <c r="V7" s="6" t="n"/>
      <c r="W7" s="6" t="n"/>
      <c r="X7" s="6" t="n"/>
      <c r="Y7" s="6" t="n"/>
      <c r="Z7" s="6" t="n"/>
    </row>
    <row r="8">
      <c r="A8" s="6" t="n"/>
      <c r="B8" s="22">
        <f>"Progress by OPS team · "&amp;TEXT(DATEVALUE(LOOKUP(2,1/('ORR theo thang'!$C$2:$C$300&lt;&gt;""),'ORR theo thang'!$A$2:$A$300)&amp;"-01"),"mmm yyyy")</f>
        <v/>
      </c>
      <c r="C8" s="6" t="n"/>
      <c r="D8" s="6" t="n"/>
      <c r="E8" s="6" t="n"/>
      <c r="F8" s="6" t="n"/>
      <c r="G8" s="6" t="n"/>
      <c r="H8" s="6" t="n"/>
      <c r="I8" s="6" t="n"/>
      <c r="J8" s="6" t="n"/>
      <c r="K8" s="6" t="n"/>
      <c r="L8" s="6" t="n"/>
      <c r="M8" s="6" t="n"/>
      <c r="N8" s="6" t="n"/>
      <c r="O8" s="6" t="n"/>
      <c r="P8" s="6" t="n"/>
      <c r="Q8" s="6" t="n"/>
      <c r="R8" s="6" t="n"/>
      <c r="S8" s="6" t="n"/>
      <c r="T8" s="6" t="n"/>
      <c r="U8" s="6" t="n"/>
      <c r="V8" s="6" t="n"/>
      <c r="W8" s="6" t="n"/>
      <c r="X8" s="6" t="n"/>
      <c r="Y8" s="6" t="n"/>
      <c r="Z8" s="6" t="n"/>
    </row>
    <row r="9">
      <c r="A9" s="6" t="n"/>
      <c r="B9" s="23" t="inlineStr">
        <is>
          <t>Gap = actual – plan, in percentage points. Red when behind plan.</t>
        </is>
      </c>
      <c r="C9" s="6" t="n"/>
      <c r="D9" s="6" t="n"/>
      <c r="E9" s="6" t="n"/>
      <c r="F9" s="6" t="n"/>
      <c r="G9" s="6" t="n"/>
      <c r="H9" s="6" t="n"/>
      <c r="I9" s="6" t="n"/>
      <c r="J9" s="6" t="n"/>
      <c r="K9" s="6" t="n"/>
      <c r="L9" s="6" t="n"/>
      <c r="M9" s="6" t="n"/>
      <c r="N9" s="6" t="n"/>
      <c r="O9" s="6" t="n"/>
      <c r="P9" s="6" t="n"/>
      <c r="Q9" s="6" t="n"/>
      <c r="R9" s="6" t="n"/>
      <c r="S9" s="6" t="n"/>
      <c r="T9" s="6" t="n"/>
      <c r="U9" s="6" t="n"/>
      <c r="V9" s="6" t="n"/>
      <c r="W9" s="6" t="n"/>
      <c r="X9" s="6" t="n"/>
      <c r="Y9" s="6" t="n"/>
      <c r="Z9" s="6" t="n"/>
    </row>
    <row r="10">
      <c r="A10" s="6" t="n"/>
      <c r="B10" s="24" t="inlineStr">
        <is>
          <t>Team</t>
        </is>
      </c>
      <c r="C10" s="24" t="inlineStr"/>
      <c r="D10" s="24" t="inlineStr">
        <is>
          <t>Weight</t>
        </is>
      </c>
      <c r="E10" s="24" t="inlineStr">
        <is>
          <t>Activities</t>
        </is>
      </c>
      <c r="F10" s="24" t="inlineStr">
        <is>
          <t>Completed</t>
        </is>
      </c>
      <c r="G10" s="24" t="inlineStr">
        <is>
          <t>Plan %</t>
        </is>
      </c>
      <c r="H10" s="24" t="inlineStr">
        <is>
          <t>Actual %</t>
        </is>
      </c>
      <c r="I10" s="24" t="inlineStr">
        <is>
          <t>Gap (pts)</t>
        </is>
      </c>
      <c r="J10" s="24" t="inlineStr">
        <is>
          <t>Final plan %</t>
        </is>
      </c>
      <c r="K10" s="6" t="n"/>
      <c r="L10" s="6" t="n"/>
      <c r="M10" s="6" t="n"/>
      <c r="N10" s="6" t="n"/>
      <c r="O10" s="6" t="n"/>
      <c r="P10" s="6" t="n"/>
      <c r="Q10" s="6" t="n"/>
      <c r="R10" s="6" t="n"/>
      <c r="S10" s="6" t="n"/>
      <c r="T10" s="6" t="n"/>
      <c r="U10" s="6" t="n"/>
      <c r="V10" s="6" t="n"/>
      <c r="W10" s="6" t="n"/>
      <c r="X10" s="6" t="n"/>
      <c r="Y10" s="6" t="n"/>
      <c r="Z10" s="6" t="n"/>
    </row>
    <row r="11">
      <c r="A11" s="6" t="n"/>
      <c r="B11" s="25">
        <f>IF(INDEX('ORR theo team'!$A$2:$A$300,1)="","",INDEX('ORR theo team'!$A$2:$A$300,1))</f>
        <v/>
      </c>
      <c r="C11" s="25" t="inlineStr"/>
      <c r="D11" s="29">
        <f>IF(B11="","",INDEX('ORR theo team'!$B$2:$B$300,1)/100)</f>
        <v/>
      </c>
      <c r="E11" s="26">
        <f>IF(INDEX('ORR theo team'!$C$2:$C$300,1)="","",INDEX('ORR theo team'!$C$2:$C$300,1))</f>
        <v/>
      </c>
      <c r="F11" s="26">
        <f>IF(INDEX('ORR theo team'!$D$2:$D$300,1)="","",INDEX('ORR theo team'!$D$2:$D$300,1))</f>
        <v/>
      </c>
      <c r="G11" s="29">
        <f>IF(B11="","",INDEX('ORR theo team'!$E$2:$E$300,1)/100)</f>
        <v/>
      </c>
      <c r="H11" s="29">
        <f>IF(B11="","",INDEX('ORR theo team'!$F$2:$F$300,1)/100)</f>
        <v/>
      </c>
      <c r="I11" s="35">
        <f>IF(B11="","",(H11-G11)*100)</f>
        <v/>
      </c>
      <c r="J11" s="29">
        <f>IF(B11="","",INDEX('ORR theo team'!$G$2:$G$300,1)/100)</f>
        <v/>
      </c>
      <c r="K11" s="6" t="n"/>
      <c r="L11" s="6" t="n"/>
      <c r="M11" s="6" t="n"/>
      <c r="N11" s="6" t="n"/>
      <c r="O11" s="6" t="n"/>
      <c r="P11" s="6" t="n"/>
      <c r="Q11" s="6" t="n"/>
      <c r="R11" s="6" t="n"/>
      <c r="S11" s="6" t="n"/>
      <c r="T11" s="6" t="n"/>
      <c r="U11" s="6" t="n"/>
      <c r="V11" s="6" t="n"/>
      <c r="W11" s="6" t="n"/>
      <c r="X11" s="6" t="n"/>
      <c r="Y11" s="6" t="n"/>
      <c r="Z11" s="6" t="n"/>
    </row>
    <row r="12">
      <c r="A12" s="6" t="n"/>
      <c r="B12" s="25">
        <f>IF(INDEX('ORR theo team'!$A$2:$A$300,2)="","",INDEX('ORR theo team'!$A$2:$A$300,2))</f>
        <v/>
      </c>
      <c r="C12" s="25" t="inlineStr"/>
      <c r="D12" s="29">
        <f>IF(B12="","",INDEX('ORR theo team'!$B$2:$B$300,2)/100)</f>
        <v/>
      </c>
      <c r="E12" s="26">
        <f>IF(INDEX('ORR theo team'!$C$2:$C$300,2)="","",INDEX('ORR theo team'!$C$2:$C$300,2))</f>
        <v/>
      </c>
      <c r="F12" s="26">
        <f>IF(INDEX('ORR theo team'!$D$2:$D$300,2)="","",INDEX('ORR theo team'!$D$2:$D$300,2))</f>
        <v/>
      </c>
      <c r="G12" s="29">
        <f>IF(B12="","",INDEX('ORR theo team'!$E$2:$E$300,2)/100)</f>
        <v/>
      </c>
      <c r="H12" s="29">
        <f>IF(B12="","",INDEX('ORR theo team'!$F$2:$F$300,2)/100)</f>
        <v/>
      </c>
      <c r="I12" s="35">
        <f>IF(B12="","",(H12-G12)*100)</f>
        <v/>
      </c>
      <c r="J12" s="29">
        <f>IF(B12="","",INDEX('ORR theo team'!$G$2:$G$300,2)/100)</f>
        <v/>
      </c>
      <c r="K12" s="6" t="n"/>
      <c r="L12" s="6" t="n"/>
      <c r="M12" s="6" t="n"/>
      <c r="N12" s="6" t="n"/>
      <c r="O12" s="6" t="n"/>
      <c r="P12" s="6" t="n"/>
      <c r="Q12" s="6" t="n"/>
      <c r="R12" s="6" t="n"/>
      <c r="S12" s="6" t="n"/>
      <c r="T12" s="6" t="n"/>
      <c r="U12" s="6" t="n"/>
      <c r="V12" s="6" t="n"/>
      <c r="W12" s="6" t="n"/>
      <c r="X12" s="6" t="n"/>
      <c r="Y12" s="6" t="n"/>
      <c r="Z12" s="6" t="n"/>
    </row>
    <row r="13">
      <c r="A13" s="6" t="n"/>
      <c r="B13" s="25">
        <f>IF(INDEX('ORR theo team'!$A$2:$A$300,3)="","",INDEX('ORR theo team'!$A$2:$A$300,3))</f>
        <v/>
      </c>
      <c r="C13" s="25" t="inlineStr"/>
      <c r="D13" s="29">
        <f>IF(B13="","",INDEX('ORR theo team'!$B$2:$B$300,3)/100)</f>
        <v/>
      </c>
      <c r="E13" s="26">
        <f>IF(INDEX('ORR theo team'!$C$2:$C$300,3)="","",INDEX('ORR theo team'!$C$2:$C$300,3))</f>
        <v/>
      </c>
      <c r="F13" s="26">
        <f>IF(INDEX('ORR theo team'!$D$2:$D$300,3)="","",INDEX('ORR theo team'!$D$2:$D$300,3))</f>
        <v/>
      </c>
      <c r="G13" s="29">
        <f>IF(B13="","",INDEX('ORR theo team'!$E$2:$E$300,3)/100)</f>
        <v/>
      </c>
      <c r="H13" s="29">
        <f>IF(B13="","",INDEX('ORR theo team'!$F$2:$F$300,3)/100)</f>
        <v/>
      </c>
      <c r="I13" s="35">
        <f>IF(B13="","",(H13-G13)*100)</f>
        <v/>
      </c>
      <c r="J13" s="29">
        <f>IF(B13="","",INDEX('ORR theo team'!$G$2:$G$300,3)/100)</f>
        <v/>
      </c>
      <c r="K13" s="6" t="n"/>
      <c r="L13" s="6" t="n"/>
      <c r="M13" s="6" t="n"/>
      <c r="N13" s="6" t="n"/>
      <c r="O13" s="6" t="n"/>
      <c r="P13" s="6" t="n"/>
      <c r="Q13" s="6" t="n"/>
      <c r="R13" s="6" t="n"/>
      <c r="S13" s="6" t="n"/>
      <c r="T13" s="6" t="n"/>
      <c r="U13" s="6" t="n"/>
      <c r="V13" s="6" t="n"/>
      <c r="W13" s="6" t="n"/>
      <c r="X13" s="6" t="n"/>
      <c r="Y13" s="6" t="n"/>
      <c r="Z13" s="6" t="n"/>
    </row>
    <row r="14">
      <c r="A14" s="6" t="n"/>
      <c r="B14" s="25">
        <f>IF(INDEX('ORR theo team'!$A$2:$A$300,4)="","",INDEX('ORR theo team'!$A$2:$A$300,4))</f>
        <v/>
      </c>
      <c r="C14" s="25" t="inlineStr"/>
      <c r="D14" s="29">
        <f>IF(B14="","",INDEX('ORR theo team'!$B$2:$B$300,4)/100)</f>
        <v/>
      </c>
      <c r="E14" s="26">
        <f>IF(INDEX('ORR theo team'!$C$2:$C$300,4)="","",INDEX('ORR theo team'!$C$2:$C$300,4))</f>
        <v/>
      </c>
      <c r="F14" s="26">
        <f>IF(INDEX('ORR theo team'!$D$2:$D$300,4)="","",INDEX('ORR theo team'!$D$2:$D$300,4))</f>
        <v/>
      </c>
      <c r="G14" s="29">
        <f>IF(B14="","",INDEX('ORR theo team'!$E$2:$E$300,4)/100)</f>
        <v/>
      </c>
      <c r="H14" s="29">
        <f>IF(B14="","",INDEX('ORR theo team'!$F$2:$F$300,4)/100)</f>
        <v/>
      </c>
      <c r="I14" s="35">
        <f>IF(B14="","",(H14-G14)*100)</f>
        <v/>
      </c>
      <c r="J14" s="29">
        <f>IF(B14="","",INDEX('ORR theo team'!$G$2:$G$300,4)/100)</f>
        <v/>
      </c>
      <c r="K14" s="6" t="n"/>
      <c r="L14" s="6" t="n"/>
      <c r="M14" s="6" t="n"/>
      <c r="N14" s="6" t="n"/>
      <c r="O14" s="6" t="n"/>
      <c r="P14" s="6" t="n"/>
      <c r="Q14" s="6" t="n"/>
      <c r="R14" s="6" t="n"/>
      <c r="S14" s="6" t="n"/>
      <c r="T14" s="6" t="n"/>
      <c r="U14" s="6" t="n"/>
      <c r="V14" s="6" t="n"/>
      <c r="W14" s="6" t="n"/>
      <c r="X14" s="6" t="n"/>
      <c r="Y14" s="6" t="n"/>
      <c r="Z14" s="6" t="n"/>
    </row>
    <row r="15">
      <c r="A15" s="6" t="n"/>
      <c r="B15" s="25">
        <f>IF(INDEX('ORR theo team'!$A$2:$A$300,5)="","",INDEX('ORR theo team'!$A$2:$A$300,5))</f>
        <v/>
      </c>
      <c r="C15" s="25" t="inlineStr"/>
      <c r="D15" s="29">
        <f>IF(B15="","",INDEX('ORR theo team'!$B$2:$B$300,5)/100)</f>
        <v/>
      </c>
      <c r="E15" s="26">
        <f>IF(INDEX('ORR theo team'!$C$2:$C$300,5)="","",INDEX('ORR theo team'!$C$2:$C$300,5))</f>
        <v/>
      </c>
      <c r="F15" s="26">
        <f>IF(INDEX('ORR theo team'!$D$2:$D$300,5)="","",INDEX('ORR theo team'!$D$2:$D$300,5))</f>
        <v/>
      </c>
      <c r="G15" s="29">
        <f>IF(B15="","",INDEX('ORR theo team'!$E$2:$E$300,5)/100)</f>
        <v/>
      </c>
      <c r="H15" s="29">
        <f>IF(B15="","",INDEX('ORR theo team'!$F$2:$F$300,5)/100)</f>
        <v/>
      </c>
      <c r="I15" s="35">
        <f>IF(B15="","",(H15-G15)*100)</f>
        <v/>
      </c>
      <c r="J15" s="29">
        <f>IF(B15="","",INDEX('ORR theo team'!$G$2:$G$300,5)/100)</f>
        <v/>
      </c>
      <c r="K15" s="6" t="n"/>
      <c r="L15" s="6" t="n"/>
      <c r="M15" s="6" t="n"/>
      <c r="N15" s="6" t="n"/>
      <c r="O15" s="6" t="n"/>
      <c r="P15" s="6" t="n"/>
      <c r="Q15" s="6" t="n"/>
      <c r="R15" s="6" t="n"/>
      <c r="S15" s="6" t="n"/>
      <c r="T15" s="6" t="n"/>
      <c r="U15" s="6" t="n"/>
      <c r="V15" s="6" t="n"/>
      <c r="W15" s="6" t="n"/>
      <c r="X15" s="6" t="n"/>
      <c r="Y15" s="6" t="n"/>
      <c r="Z15" s="6" t="n"/>
    </row>
    <row r="16">
      <c r="A16" s="6" t="n"/>
      <c r="B16" s="25">
        <f>IF(INDEX('ORR theo team'!$A$2:$A$300,6)="","",INDEX('ORR theo team'!$A$2:$A$300,6))</f>
        <v/>
      </c>
      <c r="C16" s="25" t="inlineStr"/>
      <c r="D16" s="29">
        <f>IF(B16="","",INDEX('ORR theo team'!$B$2:$B$300,6)/100)</f>
        <v/>
      </c>
      <c r="E16" s="26">
        <f>IF(INDEX('ORR theo team'!$C$2:$C$300,6)="","",INDEX('ORR theo team'!$C$2:$C$300,6))</f>
        <v/>
      </c>
      <c r="F16" s="26">
        <f>IF(INDEX('ORR theo team'!$D$2:$D$300,6)="","",INDEX('ORR theo team'!$D$2:$D$300,6))</f>
        <v/>
      </c>
      <c r="G16" s="29">
        <f>IF(B16="","",INDEX('ORR theo team'!$E$2:$E$300,6)/100)</f>
        <v/>
      </c>
      <c r="H16" s="29">
        <f>IF(B16="","",INDEX('ORR theo team'!$F$2:$F$300,6)/100)</f>
        <v/>
      </c>
      <c r="I16" s="35">
        <f>IF(B16="","",(H16-G16)*100)</f>
        <v/>
      </c>
      <c r="J16" s="29">
        <f>IF(B16="","",INDEX('ORR theo team'!$G$2:$G$300,6)/100)</f>
        <v/>
      </c>
      <c r="K16" s="6" t="n"/>
      <c r="L16" s="6" t="n"/>
      <c r="M16" s="6" t="n"/>
      <c r="N16" s="6" t="n"/>
      <c r="O16" s="6" t="n"/>
      <c r="P16" s="6" t="n"/>
      <c r="Q16" s="6" t="n"/>
      <c r="R16" s="6" t="n"/>
      <c r="S16" s="6" t="n"/>
      <c r="T16" s="6" t="n"/>
      <c r="U16" s="6" t="n"/>
      <c r="V16" s="6" t="n"/>
      <c r="W16" s="6" t="n"/>
      <c r="X16" s="6" t="n"/>
      <c r="Y16" s="6" t="n"/>
      <c r="Z16" s="6" t="n"/>
    </row>
    <row r="17">
      <c r="A17" s="6" t="n"/>
      <c r="B17" s="25">
        <f>IF(INDEX('ORR theo team'!$A$2:$A$300,7)="","",INDEX('ORR theo team'!$A$2:$A$300,7))</f>
        <v/>
      </c>
      <c r="C17" s="25" t="inlineStr"/>
      <c r="D17" s="29">
        <f>IF(B17="","",INDEX('ORR theo team'!$B$2:$B$300,7)/100)</f>
        <v/>
      </c>
      <c r="E17" s="26">
        <f>IF(INDEX('ORR theo team'!$C$2:$C$300,7)="","",INDEX('ORR theo team'!$C$2:$C$300,7))</f>
        <v/>
      </c>
      <c r="F17" s="26">
        <f>IF(INDEX('ORR theo team'!$D$2:$D$300,7)="","",INDEX('ORR theo team'!$D$2:$D$300,7))</f>
        <v/>
      </c>
      <c r="G17" s="29">
        <f>IF(B17="","",INDEX('ORR theo team'!$E$2:$E$300,7)/100)</f>
        <v/>
      </c>
      <c r="H17" s="29">
        <f>IF(B17="","",INDEX('ORR theo team'!$F$2:$F$300,7)/100)</f>
        <v/>
      </c>
      <c r="I17" s="35">
        <f>IF(B17="","",(H17-G17)*100)</f>
        <v/>
      </c>
      <c r="J17" s="29">
        <f>IF(B17="","",INDEX('ORR theo team'!$G$2:$G$300,7)/100)</f>
        <v/>
      </c>
      <c r="K17" s="6" t="n"/>
      <c r="L17" s="6" t="n"/>
      <c r="M17" s="6" t="n"/>
      <c r="N17" s="6" t="n"/>
      <c r="O17" s="6" t="n"/>
      <c r="P17" s="6" t="n"/>
      <c r="Q17" s="6" t="n"/>
      <c r="R17" s="6" t="n"/>
      <c r="S17" s="6" t="n"/>
      <c r="T17" s="6" t="n"/>
      <c r="U17" s="6" t="n"/>
      <c r="V17" s="6" t="n"/>
      <c r="W17" s="6" t="n"/>
      <c r="X17" s="6" t="n"/>
      <c r="Y17" s="6" t="n"/>
      <c r="Z17" s="6" t="n"/>
    </row>
    <row r="18">
      <c r="A18" s="6" t="n"/>
      <c r="B18" s="25">
        <f>IF(INDEX('ORR theo team'!$A$2:$A$300,8)="","",INDEX('ORR theo team'!$A$2:$A$300,8))</f>
        <v/>
      </c>
      <c r="C18" s="25" t="inlineStr"/>
      <c r="D18" s="29">
        <f>IF(B18="","",INDEX('ORR theo team'!$B$2:$B$300,8)/100)</f>
        <v/>
      </c>
      <c r="E18" s="26">
        <f>IF(INDEX('ORR theo team'!$C$2:$C$300,8)="","",INDEX('ORR theo team'!$C$2:$C$300,8))</f>
        <v/>
      </c>
      <c r="F18" s="26">
        <f>IF(INDEX('ORR theo team'!$D$2:$D$300,8)="","",INDEX('ORR theo team'!$D$2:$D$300,8))</f>
        <v/>
      </c>
      <c r="G18" s="29">
        <f>IF(B18="","",INDEX('ORR theo team'!$E$2:$E$300,8)/100)</f>
        <v/>
      </c>
      <c r="H18" s="29">
        <f>IF(B18="","",INDEX('ORR theo team'!$F$2:$F$300,8)/100)</f>
        <v/>
      </c>
      <c r="I18" s="35">
        <f>IF(B18="","",(H18-G18)*100)</f>
        <v/>
      </c>
      <c r="J18" s="29">
        <f>IF(B18="","",INDEX('ORR theo team'!$G$2:$G$300,8)/100)</f>
        <v/>
      </c>
      <c r="K18" s="6" t="n"/>
      <c r="L18" s="6" t="n"/>
      <c r="M18" s="6" t="n"/>
      <c r="N18" s="6" t="n"/>
      <c r="O18" s="6" t="n"/>
      <c r="P18" s="6" t="n"/>
      <c r="Q18" s="6" t="n"/>
      <c r="R18" s="6" t="n"/>
      <c r="S18" s="6" t="n"/>
      <c r="T18" s="6" t="n"/>
      <c r="U18" s="6" t="n"/>
      <c r="V18" s="6" t="n"/>
      <c r="W18" s="6" t="n"/>
      <c r="X18" s="6" t="n"/>
      <c r="Y18" s="6" t="n"/>
      <c r="Z18" s="6" t="n"/>
    </row>
    <row r="19">
      <c r="A19" s="6" t="n"/>
      <c r="B19" s="25">
        <f>IF(INDEX('ORR theo team'!$A$2:$A$300,9)="","",INDEX('ORR theo team'!$A$2:$A$300,9))</f>
        <v/>
      </c>
      <c r="C19" s="25" t="inlineStr"/>
      <c r="D19" s="29">
        <f>IF(B19="","",INDEX('ORR theo team'!$B$2:$B$300,9)/100)</f>
        <v/>
      </c>
      <c r="E19" s="26">
        <f>IF(INDEX('ORR theo team'!$C$2:$C$300,9)="","",INDEX('ORR theo team'!$C$2:$C$300,9))</f>
        <v/>
      </c>
      <c r="F19" s="26">
        <f>IF(INDEX('ORR theo team'!$D$2:$D$300,9)="","",INDEX('ORR theo team'!$D$2:$D$300,9))</f>
        <v/>
      </c>
      <c r="G19" s="29">
        <f>IF(B19="","",INDEX('ORR theo team'!$E$2:$E$300,9)/100)</f>
        <v/>
      </c>
      <c r="H19" s="29">
        <f>IF(B19="","",INDEX('ORR theo team'!$F$2:$F$300,9)/100)</f>
        <v/>
      </c>
      <c r="I19" s="35">
        <f>IF(B19="","",(H19-G19)*100)</f>
        <v/>
      </c>
      <c r="J19" s="29">
        <f>IF(B19="","",INDEX('ORR theo team'!$G$2:$G$300,9)/100)</f>
        <v/>
      </c>
      <c r="K19" s="6" t="n"/>
      <c r="L19" s="6" t="n"/>
      <c r="M19" s="6" t="n"/>
      <c r="N19" s="6" t="n"/>
      <c r="O19" s="6" t="n"/>
      <c r="P19" s="6" t="n"/>
      <c r="Q19" s="6" t="n"/>
      <c r="R19" s="6" t="n"/>
      <c r="S19" s="6" t="n"/>
      <c r="T19" s="6" t="n"/>
      <c r="U19" s="6" t="n"/>
      <c r="V19" s="6" t="n"/>
      <c r="W19" s="6" t="n"/>
      <c r="X19" s="6" t="n"/>
      <c r="Y19" s="6" t="n"/>
      <c r="Z19" s="6" t="n"/>
    </row>
    <row r="20">
      <c r="A20" s="6" t="n"/>
      <c r="B20" s="25">
        <f>IF(INDEX('ORR theo team'!$A$2:$A$300,10)="","",INDEX('ORR theo team'!$A$2:$A$300,10))</f>
        <v/>
      </c>
      <c r="C20" s="25" t="inlineStr"/>
      <c r="D20" s="29">
        <f>IF(B20="","",INDEX('ORR theo team'!$B$2:$B$300,10)/100)</f>
        <v/>
      </c>
      <c r="E20" s="26">
        <f>IF(INDEX('ORR theo team'!$C$2:$C$300,10)="","",INDEX('ORR theo team'!$C$2:$C$300,10))</f>
        <v/>
      </c>
      <c r="F20" s="26">
        <f>IF(INDEX('ORR theo team'!$D$2:$D$300,10)="","",INDEX('ORR theo team'!$D$2:$D$300,10))</f>
        <v/>
      </c>
      <c r="G20" s="29">
        <f>IF(B20="","",INDEX('ORR theo team'!$E$2:$E$300,10)/100)</f>
        <v/>
      </c>
      <c r="H20" s="29">
        <f>IF(B20="","",INDEX('ORR theo team'!$F$2:$F$300,10)/100)</f>
        <v/>
      </c>
      <c r="I20" s="35">
        <f>IF(B20="","",(H20-G20)*100)</f>
        <v/>
      </c>
      <c r="J20" s="29">
        <f>IF(B20="","",INDEX('ORR theo team'!$G$2:$G$300,10)/100)</f>
        <v/>
      </c>
      <c r="K20" s="6" t="n"/>
      <c r="L20" s="6" t="n"/>
      <c r="M20" s="6" t="n"/>
      <c r="N20" s="6" t="n"/>
      <c r="O20" s="6" t="n"/>
      <c r="P20" s="6" t="n"/>
      <c r="Q20" s="6" t="n"/>
      <c r="R20" s="6" t="n"/>
      <c r="S20" s="6" t="n"/>
      <c r="T20" s="6" t="n"/>
      <c r="U20" s="6" t="n"/>
      <c r="V20" s="6" t="n"/>
      <c r="W20" s="6" t="n"/>
      <c r="X20" s="6" t="n"/>
      <c r="Y20" s="6" t="n"/>
      <c r="Z20" s="6" t="n"/>
    </row>
    <row r="21">
      <c r="A21" s="6" t="n"/>
      <c r="B21" s="25">
        <f>IF(INDEX('ORR theo team'!$A$2:$A$300,11)="","",INDEX('ORR theo team'!$A$2:$A$300,11))</f>
        <v/>
      </c>
      <c r="C21" s="25" t="inlineStr"/>
      <c r="D21" s="29">
        <f>IF(B21="","",INDEX('ORR theo team'!$B$2:$B$300,11)/100)</f>
        <v/>
      </c>
      <c r="E21" s="26">
        <f>IF(INDEX('ORR theo team'!$C$2:$C$300,11)="","",INDEX('ORR theo team'!$C$2:$C$300,11))</f>
        <v/>
      </c>
      <c r="F21" s="26">
        <f>IF(INDEX('ORR theo team'!$D$2:$D$300,11)="","",INDEX('ORR theo team'!$D$2:$D$300,11))</f>
        <v/>
      </c>
      <c r="G21" s="29">
        <f>IF(B21="","",INDEX('ORR theo team'!$E$2:$E$300,11)/100)</f>
        <v/>
      </c>
      <c r="H21" s="29">
        <f>IF(B21="","",INDEX('ORR theo team'!$F$2:$F$300,11)/100)</f>
        <v/>
      </c>
      <c r="I21" s="35">
        <f>IF(B21="","",(H21-G21)*100)</f>
        <v/>
      </c>
      <c r="J21" s="29">
        <f>IF(B21="","",INDEX('ORR theo team'!$G$2:$G$300,11)/100)</f>
        <v/>
      </c>
      <c r="K21" s="6" t="n"/>
      <c r="L21" s="6" t="n"/>
      <c r="M21" s="6" t="n"/>
      <c r="N21" s="6" t="n"/>
      <c r="O21" s="6" t="n"/>
      <c r="P21" s="6" t="n"/>
      <c r="Q21" s="6" t="n"/>
      <c r="R21" s="6" t="n"/>
      <c r="S21" s="6" t="n"/>
      <c r="T21" s="6" t="n"/>
      <c r="U21" s="6" t="n"/>
      <c r="V21" s="6" t="n"/>
      <c r="W21" s="6" t="n"/>
      <c r="X21" s="6" t="n"/>
      <c r="Y21" s="6" t="n"/>
      <c r="Z21" s="6" t="n"/>
    </row>
    <row r="22">
      <c r="A22" s="6" t="n"/>
      <c r="B22" s="25">
        <f>IF(INDEX('ORR theo team'!$A$2:$A$300,12)="","",INDEX('ORR theo team'!$A$2:$A$300,12))</f>
        <v/>
      </c>
      <c r="C22" s="25" t="inlineStr"/>
      <c r="D22" s="29">
        <f>IF(B22="","",INDEX('ORR theo team'!$B$2:$B$300,12)/100)</f>
        <v/>
      </c>
      <c r="E22" s="26">
        <f>IF(INDEX('ORR theo team'!$C$2:$C$300,12)="","",INDEX('ORR theo team'!$C$2:$C$300,12))</f>
        <v/>
      </c>
      <c r="F22" s="26">
        <f>IF(INDEX('ORR theo team'!$D$2:$D$300,12)="","",INDEX('ORR theo team'!$D$2:$D$300,12))</f>
        <v/>
      </c>
      <c r="G22" s="29">
        <f>IF(B22="","",INDEX('ORR theo team'!$E$2:$E$300,12)/100)</f>
        <v/>
      </c>
      <c r="H22" s="29">
        <f>IF(B22="","",INDEX('ORR theo team'!$F$2:$F$300,12)/100)</f>
        <v/>
      </c>
      <c r="I22" s="35">
        <f>IF(B22="","",(H22-G22)*100)</f>
        <v/>
      </c>
      <c r="J22" s="29">
        <f>IF(B22="","",INDEX('ORR theo team'!$G$2:$G$300,12)/100)</f>
        <v/>
      </c>
      <c r="K22" s="6" t="n"/>
      <c r="L22" s="6" t="n"/>
      <c r="M22" s="6" t="n"/>
      <c r="N22" s="6" t="n"/>
      <c r="O22" s="6" t="n"/>
      <c r="P22" s="6" t="n"/>
      <c r="Q22" s="6" t="n"/>
      <c r="R22" s="6" t="n"/>
      <c r="S22" s="6" t="n"/>
      <c r="T22" s="6" t="n"/>
      <c r="U22" s="6" t="n"/>
      <c r="V22" s="6" t="n"/>
      <c r="W22" s="6" t="n"/>
      <c r="X22" s="6" t="n"/>
      <c r="Y22" s="6" t="n"/>
      <c r="Z22" s="6" t="n"/>
    </row>
    <row r="23">
      <c r="A23" s="6" t="n"/>
      <c r="B23" s="6" t="n"/>
      <c r="C23" s="6" t="n"/>
      <c r="D23" s="6" t="n"/>
      <c r="E23" s="6" t="n"/>
      <c r="F23" s="6" t="n"/>
      <c r="G23" s="6" t="n"/>
      <c r="H23" s="6" t="n"/>
      <c r="I23" s="6" t="n"/>
      <c r="J23" s="6" t="n"/>
      <c r="K23" s="6" t="n"/>
      <c r="L23" s="6" t="n"/>
      <c r="M23" s="6" t="n"/>
      <c r="N23" s="6" t="n"/>
      <c r="O23" s="6" t="n"/>
      <c r="P23" s="6" t="n"/>
      <c r="Q23" s="6" t="n"/>
      <c r="R23" s="6" t="n"/>
      <c r="S23" s="6" t="n"/>
      <c r="T23" s="6" t="n"/>
      <c r="U23" s="6" t="n"/>
      <c r="V23" s="6" t="n"/>
      <c r="W23" s="6" t="n"/>
      <c r="X23" s="6" t="n"/>
      <c r="Y23" s="6" t="n"/>
      <c r="Z23" s="6" t="n"/>
    </row>
    <row r="24">
      <c r="A24" s="6" t="n"/>
      <c r="B24" s="6" t="n"/>
      <c r="C24" s="6" t="n"/>
      <c r="D24" s="6" t="n"/>
      <c r="E24" s="6" t="n"/>
      <c r="F24" s="6" t="n"/>
      <c r="G24" s="6" t="n"/>
      <c r="H24" s="6" t="n"/>
      <c r="I24" s="6" t="n"/>
      <c r="J24" s="6" t="n"/>
      <c r="K24" s="6" t="n"/>
      <c r="L24" s="6" t="n"/>
      <c r="M24" s="6" t="n"/>
      <c r="N24" s="6" t="n"/>
      <c r="O24" s="6" t="n"/>
      <c r="P24" s="6" t="n"/>
      <c r="Q24" s="6" t="n"/>
      <c r="R24" s="6" t="n"/>
      <c r="S24" s="6" t="n"/>
      <c r="T24" s="6" t="n"/>
      <c r="U24" s="6" t="n"/>
      <c r="V24" s="6" t="n"/>
      <c r="W24" s="6" t="n"/>
      <c r="X24" s="6" t="n"/>
      <c r="Y24" s="6" t="n"/>
      <c r="Z24" s="6" t="n"/>
    </row>
    <row r="25">
      <c r="A25" s="6" t="n"/>
      <c r="B25" s="22" t="inlineStr">
        <is>
          <t>Checklist by element (People · Plant · Process)</t>
        </is>
      </c>
      <c r="C25" s="6" t="n"/>
      <c r="D25" s="6" t="n"/>
      <c r="E25" s="6" t="n"/>
      <c r="F25" s="6" t="n"/>
      <c r="G25" s="6" t="n"/>
      <c r="H25" s="6" t="n"/>
      <c r="I25" s="6" t="n"/>
      <c r="J25" s="6" t="n"/>
      <c r="K25" s="6" t="n"/>
      <c r="L25" s="6" t="n"/>
      <c r="M25" s="6" t="n"/>
      <c r="N25" s="6" t="n"/>
      <c r="O25" s="6" t="n"/>
      <c r="P25" s="6" t="n"/>
      <c r="Q25" s="6" t="n"/>
      <c r="R25" s="6" t="n"/>
      <c r="S25" s="6" t="n"/>
      <c r="T25" s="6" t="n"/>
      <c r="U25" s="6" t="n"/>
      <c r="V25" s="6" t="n"/>
      <c r="W25" s="6" t="n"/>
      <c r="X25" s="6" t="n"/>
      <c r="Y25" s="6" t="n"/>
      <c r="Z25" s="6" t="n"/>
    </row>
    <row r="26">
      <c r="A26" s="6" t="n"/>
      <c r="B26" s="23" t="inlineStr">
        <is>
          <t>Elements below 50% are shown in red.</t>
        </is>
      </c>
      <c r="C26" s="6" t="n"/>
      <c r="D26" s="6" t="n"/>
      <c r="E26" s="6" t="n"/>
      <c r="F26" s="6" t="n"/>
      <c r="G26" s="6" t="n"/>
      <c r="H26" s="6" t="n"/>
      <c r="I26" s="6" t="n"/>
      <c r="J26" s="6" t="n"/>
      <c r="K26" s="6" t="n"/>
      <c r="L26" s="6" t="n"/>
      <c r="M26" s="6" t="n"/>
      <c r="N26" s="6" t="n"/>
      <c r="O26" s="6" t="n"/>
      <c r="P26" s="6" t="n"/>
      <c r="Q26" s="6" t="n"/>
      <c r="R26" s="6" t="n"/>
      <c r="S26" s="6" t="n"/>
      <c r="T26" s="6" t="n"/>
      <c r="U26" s="6" t="n"/>
      <c r="V26" s="6" t="n"/>
      <c r="W26" s="6" t="n"/>
      <c r="X26" s="6" t="n"/>
      <c r="Y26" s="6" t="n"/>
      <c r="Z26" s="6" t="n"/>
    </row>
    <row r="27">
      <c r="A27" s="6" t="n"/>
      <c r="B27" s="24" t="inlineStr">
        <is>
          <t>Code</t>
        </is>
      </c>
      <c r="C27" s="24" t="inlineStr">
        <is>
          <t>Element</t>
        </is>
      </c>
      <c r="D27" s="24" t="inlineStr"/>
      <c r="E27" s="24" t="inlineStr"/>
      <c r="F27" s="24" t="inlineStr"/>
      <c r="G27" s="24" t="inlineStr"/>
      <c r="H27" s="24" t="inlineStr">
        <is>
          <t>Group</t>
        </is>
      </c>
      <c r="I27" s="24" t="inlineStr">
        <is>
          <t>Items</t>
        </is>
      </c>
      <c r="J27" s="24" t="inlineStr">
        <is>
          <t>Progress</t>
        </is>
      </c>
      <c r="K27" s="6" t="n"/>
      <c r="L27" s="6" t="n"/>
      <c r="M27" s="6" t="n"/>
      <c r="N27" s="6" t="n"/>
      <c r="O27" s="6" t="n"/>
      <c r="P27" s="6" t="n"/>
      <c r="Q27" s="6" t="n"/>
      <c r="R27" s="6" t="n"/>
      <c r="S27" s="6" t="n"/>
      <c r="T27" s="6" t="n"/>
      <c r="U27" s="6" t="n"/>
      <c r="V27" s="6" t="n"/>
      <c r="W27" s="6" t="n"/>
      <c r="X27" s="6" t="n"/>
      <c r="Y27" s="6" t="n"/>
      <c r="Z27" s="6" t="n"/>
    </row>
    <row r="28">
      <c r="A28" s="6" t="n"/>
      <c r="B28" s="25">
        <f>IF(INDEX('ORR hang muc'!$B$2:$B$300,1)="","",INDEX('ORR hang muc'!$B$2:$B$300,1))</f>
        <v/>
      </c>
      <c r="C28" s="25">
        <f>IF(INDEX('ORR hang muc'!$C$2:$C$300,1)="","",INDEX('ORR hang muc'!$C$2:$C$300,1))</f>
        <v/>
      </c>
      <c r="D28" s="33" t="n"/>
      <c r="E28" s="33" t="n"/>
      <c r="F28" s="33" t="n"/>
      <c r="G28" s="33" t="n"/>
      <c r="H28" s="25">
        <f>IF(INDEX('ORR hang muc'!$A$2:$A$300,1)="","",INDEX('ORR hang muc'!$A$2:$A$300,1))</f>
        <v/>
      </c>
      <c r="I28" s="26">
        <f>IF(INDEX('ORR hang muc'!$D$2:$D$300,1)="","",INDEX('ORR hang muc'!$D$2:$D$300,1))</f>
        <v/>
      </c>
      <c r="J28" s="29">
        <f>IF(B28="","",INDEX('ORR hang muc'!$E$2:$E$300,1)/100)</f>
        <v/>
      </c>
      <c r="K28" s="6" t="n"/>
      <c r="L28" s="6" t="n"/>
      <c r="M28" s="6" t="n"/>
      <c r="N28" s="6" t="n"/>
      <c r="O28" s="6" t="n"/>
      <c r="P28" s="6" t="n"/>
      <c r="Q28" s="6" t="n"/>
      <c r="R28" s="6" t="n"/>
      <c r="S28" s="6" t="n"/>
      <c r="T28" s="6" t="n"/>
      <c r="U28" s="6" t="n"/>
      <c r="V28" s="6" t="n"/>
      <c r="W28" s="6" t="n"/>
      <c r="X28" s="6" t="n"/>
      <c r="Y28" s="6" t="n"/>
      <c r="Z28" s="6" t="n"/>
    </row>
    <row r="29">
      <c r="A29" s="6" t="n"/>
      <c r="B29" s="25">
        <f>IF(INDEX('ORR hang muc'!$B$2:$B$300,2)="","",INDEX('ORR hang muc'!$B$2:$B$300,2))</f>
        <v/>
      </c>
      <c r="C29" s="25">
        <f>IF(INDEX('ORR hang muc'!$C$2:$C$300,2)="","",INDEX('ORR hang muc'!$C$2:$C$300,2))</f>
        <v/>
      </c>
      <c r="D29" s="33" t="n"/>
      <c r="E29" s="33" t="n"/>
      <c r="F29" s="33" t="n"/>
      <c r="G29" s="33" t="n"/>
      <c r="H29" s="25">
        <f>IF(INDEX('ORR hang muc'!$A$2:$A$300,2)="","",INDEX('ORR hang muc'!$A$2:$A$300,2))</f>
        <v/>
      </c>
      <c r="I29" s="26">
        <f>IF(INDEX('ORR hang muc'!$D$2:$D$300,2)="","",INDEX('ORR hang muc'!$D$2:$D$300,2))</f>
        <v/>
      </c>
      <c r="J29" s="29">
        <f>IF(B29="","",INDEX('ORR hang muc'!$E$2:$E$300,2)/100)</f>
        <v/>
      </c>
      <c r="K29" s="6" t="n"/>
      <c r="L29" s="6" t="n"/>
      <c r="M29" s="6" t="n"/>
      <c r="N29" s="6" t="n"/>
      <c r="O29" s="6" t="n"/>
      <c r="P29" s="6" t="n"/>
      <c r="Q29" s="6" t="n"/>
      <c r="R29" s="6" t="n"/>
      <c r="S29" s="6" t="n"/>
      <c r="T29" s="6" t="n"/>
      <c r="U29" s="6" t="n"/>
      <c r="V29" s="6" t="n"/>
      <c r="W29" s="6" t="n"/>
      <c r="X29" s="6" t="n"/>
      <c r="Y29" s="6" t="n"/>
      <c r="Z29" s="6" t="n"/>
    </row>
    <row r="30">
      <c r="A30" s="6" t="n"/>
      <c r="B30" s="25">
        <f>IF(INDEX('ORR hang muc'!$B$2:$B$300,3)="","",INDEX('ORR hang muc'!$B$2:$B$300,3))</f>
        <v/>
      </c>
      <c r="C30" s="25">
        <f>IF(INDEX('ORR hang muc'!$C$2:$C$300,3)="","",INDEX('ORR hang muc'!$C$2:$C$300,3))</f>
        <v/>
      </c>
      <c r="D30" s="33" t="n"/>
      <c r="E30" s="33" t="n"/>
      <c r="F30" s="33" t="n"/>
      <c r="G30" s="33" t="n"/>
      <c r="H30" s="25">
        <f>IF(INDEX('ORR hang muc'!$A$2:$A$300,3)="","",INDEX('ORR hang muc'!$A$2:$A$300,3))</f>
        <v/>
      </c>
      <c r="I30" s="26">
        <f>IF(INDEX('ORR hang muc'!$D$2:$D$300,3)="","",INDEX('ORR hang muc'!$D$2:$D$300,3))</f>
        <v/>
      </c>
      <c r="J30" s="29">
        <f>IF(B30="","",INDEX('ORR hang muc'!$E$2:$E$300,3)/100)</f>
        <v/>
      </c>
      <c r="K30" s="6" t="n"/>
      <c r="L30" s="6" t="n"/>
      <c r="M30" s="6" t="n"/>
      <c r="N30" s="6" t="n"/>
      <c r="O30" s="6" t="n"/>
      <c r="P30" s="6" t="n"/>
      <c r="Q30" s="6" t="n"/>
      <c r="R30" s="6" t="n"/>
      <c r="S30" s="6" t="n"/>
      <c r="T30" s="6" t="n"/>
      <c r="U30" s="6" t="n"/>
      <c r="V30" s="6" t="n"/>
      <c r="W30" s="6" t="n"/>
      <c r="X30" s="6" t="n"/>
      <c r="Y30" s="6" t="n"/>
      <c r="Z30" s="6" t="n"/>
    </row>
    <row r="31">
      <c r="A31" s="6" t="n"/>
      <c r="B31" s="25">
        <f>IF(INDEX('ORR hang muc'!$B$2:$B$300,4)="","",INDEX('ORR hang muc'!$B$2:$B$300,4))</f>
        <v/>
      </c>
      <c r="C31" s="25">
        <f>IF(INDEX('ORR hang muc'!$C$2:$C$300,4)="","",INDEX('ORR hang muc'!$C$2:$C$300,4))</f>
        <v/>
      </c>
      <c r="D31" s="33" t="n"/>
      <c r="E31" s="33" t="n"/>
      <c r="F31" s="33" t="n"/>
      <c r="G31" s="33" t="n"/>
      <c r="H31" s="25">
        <f>IF(INDEX('ORR hang muc'!$A$2:$A$300,4)="","",INDEX('ORR hang muc'!$A$2:$A$300,4))</f>
        <v/>
      </c>
      <c r="I31" s="26">
        <f>IF(INDEX('ORR hang muc'!$D$2:$D$300,4)="","",INDEX('ORR hang muc'!$D$2:$D$300,4))</f>
        <v/>
      </c>
      <c r="J31" s="29">
        <f>IF(B31="","",INDEX('ORR hang muc'!$E$2:$E$300,4)/100)</f>
        <v/>
      </c>
      <c r="K31" s="6" t="n"/>
      <c r="L31" s="6" t="n"/>
      <c r="M31" s="6" t="n"/>
      <c r="N31" s="6" t="n"/>
      <c r="O31" s="6" t="n"/>
      <c r="P31" s="6" t="n"/>
      <c r="Q31" s="6" t="n"/>
      <c r="R31" s="6" t="n"/>
      <c r="S31" s="6" t="n"/>
      <c r="T31" s="6" t="n"/>
      <c r="U31" s="6" t="n"/>
      <c r="V31" s="6" t="n"/>
      <c r="W31" s="6" t="n"/>
      <c r="X31" s="6" t="n"/>
      <c r="Y31" s="6" t="n"/>
      <c r="Z31" s="6" t="n"/>
    </row>
    <row r="32">
      <c r="A32" s="6" t="n"/>
      <c r="B32" s="25">
        <f>IF(INDEX('ORR hang muc'!$B$2:$B$300,5)="","",INDEX('ORR hang muc'!$B$2:$B$300,5))</f>
        <v/>
      </c>
      <c r="C32" s="25">
        <f>IF(INDEX('ORR hang muc'!$C$2:$C$300,5)="","",INDEX('ORR hang muc'!$C$2:$C$300,5))</f>
        <v/>
      </c>
      <c r="D32" s="33" t="n"/>
      <c r="E32" s="33" t="n"/>
      <c r="F32" s="33" t="n"/>
      <c r="G32" s="33" t="n"/>
      <c r="H32" s="25">
        <f>IF(INDEX('ORR hang muc'!$A$2:$A$300,5)="","",INDEX('ORR hang muc'!$A$2:$A$300,5))</f>
        <v/>
      </c>
      <c r="I32" s="26">
        <f>IF(INDEX('ORR hang muc'!$D$2:$D$300,5)="","",INDEX('ORR hang muc'!$D$2:$D$300,5))</f>
        <v/>
      </c>
      <c r="J32" s="29">
        <f>IF(B32="","",INDEX('ORR hang muc'!$E$2:$E$300,5)/100)</f>
        <v/>
      </c>
      <c r="K32" s="6" t="n"/>
      <c r="L32" s="6" t="n"/>
      <c r="M32" s="6" t="n"/>
      <c r="N32" s="6" t="n"/>
      <c r="O32" s="6" t="n"/>
      <c r="P32" s="6" t="n"/>
      <c r="Q32" s="6" t="n"/>
      <c r="R32" s="6" t="n"/>
      <c r="S32" s="6" t="n"/>
      <c r="T32" s="6" t="n"/>
      <c r="U32" s="6" t="n"/>
      <c r="V32" s="6" t="n"/>
      <c r="W32" s="6" t="n"/>
      <c r="X32" s="6" t="n"/>
      <c r="Y32" s="6" t="n"/>
      <c r="Z32" s="6" t="n"/>
    </row>
    <row r="33">
      <c r="A33" s="6" t="n"/>
      <c r="B33" s="25">
        <f>IF(INDEX('ORR hang muc'!$B$2:$B$300,6)="","",INDEX('ORR hang muc'!$B$2:$B$300,6))</f>
        <v/>
      </c>
      <c r="C33" s="25">
        <f>IF(INDEX('ORR hang muc'!$C$2:$C$300,6)="","",INDEX('ORR hang muc'!$C$2:$C$300,6))</f>
        <v/>
      </c>
      <c r="D33" s="33" t="n"/>
      <c r="E33" s="33" t="n"/>
      <c r="F33" s="33" t="n"/>
      <c r="G33" s="33" t="n"/>
      <c r="H33" s="25">
        <f>IF(INDEX('ORR hang muc'!$A$2:$A$300,6)="","",INDEX('ORR hang muc'!$A$2:$A$300,6))</f>
        <v/>
      </c>
      <c r="I33" s="26">
        <f>IF(INDEX('ORR hang muc'!$D$2:$D$300,6)="","",INDEX('ORR hang muc'!$D$2:$D$300,6))</f>
        <v/>
      </c>
      <c r="J33" s="29">
        <f>IF(B33="","",INDEX('ORR hang muc'!$E$2:$E$300,6)/100)</f>
        <v/>
      </c>
      <c r="K33" s="6" t="n"/>
      <c r="L33" s="6" t="n"/>
      <c r="M33" s="6" t="n"/>
      <c r="N33" s="6" t="n"/>
      <c r="O33" s="6" t="n"/>
      <c r="P33" s="6" t="n"/>
      <c r="Q33" s="6" t="n"/>
      <c r="R33" s="6" t="n"/>
      <c r="S33" s="6" t="n"/>
      <c r="T33" s="6" t="n"/>
      <c r="U33" s="6" t="n"/>
      <c r="V33" s="6" t="n"/>
      <c r="W33" s="6" t="n"/>
      <c r="X33" s="6" t="n"/>
      <c r="Y33" s="6" t="n"/>
      <c r="Z33" s="6" t="n"/>
    </row>
    <row r="34">
      <c r="A34" s="6" t="n"/>
      <c r="B34" s="25">
        <f>IF(INDEX('ORR hang muc'!$B$2:$B$300,7)="","",INDEX('ORR hang muc'!$B$2:$B$300,7))</f>
        <v/>
      </c>
      <c r="C34" s="25">
        <f>IF(INDEX('ORR hang muc'!$C$2:$C$300,7)="","",INDEX('ORR hang muc'!$C$2:$C$300,7))</f>
        <v/>
      </c>
      <c r="D34" s="33" t="n"/>
      <c r="E34" s="33" t="n"/>
      <c r="F34" s="33" t="n"/>
      <c r="G34" s="33" t="n"/>
      <c r="H34" s="25">
        <f>IF(INDEX('ORR hang muc'!$A$2:$A$300,7)="","",INDEX('ORR hang muc'!$A$2:$A$300,7))</f>
        <v/>
      </c>
      <c r="I34" s="26">
        <f>IF(INDEX('ORR hang muc'!$D$2:$D$300,7)="","",INDEX('ORR hang muc'!$D$2:$D$300,7))</f>
        <v/>
      </c>
      <c r="J34" s="29">
        <f>IF(B34="","",INDEX('ORR hang muc'!$E$2:$E$300,7)/100)</f>
        <v/>
      </c>
      <c r="K34" s="6" t="n"/>
      <c r="L34" s="6" t="n"/>
      <c r="M34" s="6" t="n"/>
      <c r="N34" s="6" t="n"/>
      <c r="O34" s="6" t="n"/>
      <c r="P34" s="6" t="n"/>
      <c r="Q34" s="6" t="n"/>
      <c r="R34" s="6" t="n"/>
      <c r="S34" s="6" t="n"/>
      <c r="T34" s="6" t="n"/>
      <c r="U34" s="6" t="n"/>
      <c r="V34" s="6" t="n"/>
      <c r="W34" s="6" t="n"/>
      <c r="X34" s="6" t="n"/>
      <c r="Y34" s="6" t="n"/>
      <c r="Z34" s="6" t="n"/>
    </row>
    <row r="35">
      <c r="A35" s="6" t="n"/>
      <c r="B35" s="25">
        <f>IF(INDEX('ORR hang muc'!$B$2:$B$300,8)="","",INDEX('ORR hang muc'!$B$2:$B$300,8))</f>
        <v/>
      </c>
      <c r="C35" s="25">
        <f>IF(INDEX('ORR hang muc'!$C$2:$C$300,8)="","",INDEX('ORR hang muc'!$C$2:$C$300,8))</f>
        <v/>
      </c>
      <c r="D35" s="33" t="n"/>
      <c r="E35" s="33" t="n"/>
      <c r="F35" s="33" t="n"/>
      <c r="G35" s="33" t="n"/>
      <c r="H35" s="25">
        <f>IF(INDEX('ORR hang muc'!$A$2:$A$300,8)="","",INDEX('ORR hang muc'!$A$2:$A$300,8))</f>
        <v/>
      </c>
      <c r="I35" s="26">
        <f>IF(INDEX('ORR hang muc'!$D$2:$D$300,8)="","",INDEX('ORR hang muc'!$D$2:$D$300,8))</f>
        <v/>
      </c>
      <c r="J35" s="29">
        <f>IF(B35="","",INDEX('ORR hang muc'!$E$2:$E$300,8)/100)</f>
        <v/>
      </c>
      <c r="K35" s="6" t="n"/>
      <c r="L35" s="6" t="n"/>
      <c r="M35" s="6" t="n"/>
      <c r="N35" s="6" t="n"/>
      <c r="O35" s="6" t="n"/>
      <c r="P35" s="6" t="n"/>
      <c r="Q35" s="6" t="n"/>
      <c r="R35" s="6" t="n"/>
      <c r="S35" s="6" t="n"/>
      <c r="T35" s="6" t="n"/>
      <c r="U35" s="6" t="n"/>
      <c r="V35" s="6" t="n"/>
      <c r="W35" s="6" t="n"/>
      <c r="X35" s="6" t="n"/>
      <c r="Y35" s="6" t="n"/>
      <c r="Z35" s="6" t="n"/>
    </row>
    <row r="36">
      <c r="A36" s="6" t="n"/>
      <c r="B36" s="25">
        <f>IF(INDEX('ORR hang muc'!$B$2:$B$300,9)="","",INDEX('ORR hang muc'!$B$2:$B$300,9))</f>
        <v/>
      </c>
      <c r="C36" s="25">
        <f>IF(INDEX('ORR hang muc'!$C$2:$C$300,9)="","",INDEX('ORR hang muc'!$C$2:$C$300,9))</f>
        <v/>
      </c>
      <c r="D36" s="33" t="n"/>
      <c r="E36" s="33" t="n"/>
      <c r="F36" s="33" t="n"/>
      <c r="G36" s="33" t="n"/>
      <c r="H36" s="25">
        <f>IF(INDEX('ORR hang muc'!$A$2:$A$300,9)="","",INDEX('ORR hang muc'!$A$2:$A$300,9))</f>
        <v/>
      </c>
      <c r="I36" s="26">
        <f>IF(INDEX('ORR hang muc'!$D$2:$D$300,9)="","",INDEX('ORR hang muc'!$D$2:$D$300,9))</f>
        <v/>
      </c>
      <c r="J36" s="29">
        <f>IF(B36="","",INDEX('ORR hang muc'!$E$2:$E$300,9)/100)</f>
        <v/>
      </c>
      <c r="K36" s="6" t="n"/>
      <c r="L36" s="6" t="n"/>
      <c r="M36" s="6" t="n"/>
      <c r="N36" s="6" t="n"/>
      <c r="O36" s="6" t="n"/>
      <c r="P36" s="6" t="n"/>
      <c r="Q36" s="6" t="n"/>
      <c r="R36" s="6" t="n"/>
      <c r="S36" s="6" t="n"/>
      <c r="T36" s="6" t="n"/>
      <c r="U36" s="6" t="n"/>
      <c r="V36" s="6" t="n"/>
      <c r="W36" s="6" t="n"/>
      <c r="X36" s="6" t="n"/>
      <c r="Y36" s="6" t="n"/>
      <c r="Z36" s="6" t="n"/>
    </row>
    <row r="37">
      <c r="A37" s="6" t="n"/>
      <c r="B37" s="25">
        <f>IF(INDEX('ORR hang muc'!$B$2:$B$300,10)="","",INDEX('ORR hang muc'!$B$2:$B$300,10))</f>
        <v/>
      </c>
      <c r="C37" s="25">
        <f>IF(INDEX('ORR hang muc'!$C$2:$C$300,10)="","",INDEX('ORR hang muc'!$C$2:$C$300,10))</f>
        <v/>
      </c>
      <c r="D37" s="33" t="n"/>
      <c r="E37" s="33" t="n"/>
      <c r="F37" s="33" t="n"/>
      <c r="G37" s="33" t="n"/>
      <c r="H37" s="25">
        <f>IF(INDEX('ORR hang muc'!$A$2:$A$300,10)="","",INDEX('ORR hang muc'!$A$2:$A$300,10))</f>
        <v/>
      </c>
      <c r="I37" s="26">
        <f>IF(INDEX('ORR hang muc'!$D$2:$D$300,10)="","",INDEX('ORR hang muc'!$D$2:$D$300,10))</f>
        <v/>
      </c>
      <c r="J37" s="29">
        <f>IF(B37="","",INDEX('ORR hang muc'!$E$2:$E$300,10)/100)</f>
        <v/>
      </c>
      <c r="K37" s="6" t="n"/>
      <c r="L37" s="6" t="n"/>
      <c r="M37" s="6" t="n"/>
      <c r="N37" s="6" t="n"/>
      <c r="O37" s="6" t="n"/>
      <c r="P37" s="6" t="n"/>
      <c r="Q37" s="6" t="n"/>
      <c r="R37" s="6" t="n"/>
      <c r="S37" s="6" t="n"/>
      <c r="T37" s="6" t="n"/>
      <c r="U37" s="6" t="n"/>
      <c r="V37" s="6" t="n"/>
      <c r="W37" s="6" t="n"/>
      <c r="X37" s="6" t="n"/>
      <c r="Y37" s="6" t="n"/>
      <c r="Z37" s="6" t="n"/>
    </row>
    <row r="38">
      <c r="A38" s="6" t="n"/>
      <c r="B38" s="25">
        <f>IF(INDEX('ORR hang muc'!$B$2:$B$300,11)="","",INDEX('ORR hang muc'!$B$2:$B$300,11))</f>
        <v/>
      </c>
      <c r="C38" s="25">
        <f>IF(INDEX('ORR hang muc'!$C$2:$C$300,11)="","",INDEX('ORR hang muc'!$C$2:$C$300,11))</f>
        <v/>
      </c>
      <c r="D38" s="33" t="n"/>
      <c r="E38" s="33" t="n"/>
      <c r="F38" s="33" t="n"/>
      <c r="G38" s="33" t="n"/>
      <c r="H38" s="25">
        <f>IF(INDEX('ORR hang muc'!$A$2:$A$300,11)="","",INDEX('ORR hang muc'!$A$2:$A$300,11))</f>
        <v/>
      </c>
      <c r="I38" s="26">
        <f>IF(INDEX('ORR hang muc'!$D$2:$D$300,11)="","",INDEX('ORR hang muc'!$D$2:$D$300,11))</f>
        <v/>
      </c>
      <c r="J38" s="29">
        <f>IF(B38="","",INDEX('ORR hang muc'!$E$2:$E$300,11)/100)</f>
        <v/>
      </c>
      <c r="K38" s="6" t="n"/>
      <c r="L38" s="6" t="n"/>
      <c r="M38" s="6" t="n"/>
      <c r="N38" s="6" t="n"/>
      <c r="O38" s="6" t="n"/>
      <c r="P38" s="6" t="n"/>
      <c r="Q38" s="6" t="n"/>
      <c r="R38" s="6" t="n"/>
      <c r="S38" s="6" t="n"/>
      <c r="T38" s="6" t="n"/>
      <c r="U38" s="6" t="n"/>
      <c r="V38" s="6" t="n"/>
      <c r="W38" s="6" t="n"/>
      <c r="X38" s="6" t="n"/>
      <c r="Y38" s="6" t="n"/>
      <c r="Z38" s="6" t="n"/>
    </row>
    <row r="39">
      <c r="A39" s="6" t="n"/>
      <c r="B39" s="25">
        <f>IF(INDEX('ORR hang muc'!$B$2:$B$300,12)="","",INDEX('ORR hang muc'!$B$2:$B$300,12))</f>
        <v/>
      </c>
      <c r="C39" s="25">
        <f>IF(INDEX('ORR hang muc'!$C$2:$C$300,12)="","",INDEX('ORR hang muc'!$C$2:$C$300,12))</f>
        <v/>
      </c>
      <c r="D39" s="33" t="n"/>
      <c r="E39" s="33" t="n"/>
      <c r="F39" s="33" t="n"/>
      <c r="G39" s="33" t="n"/>
      <c r="H39" s="25">
        <f>IF(INDEX('ORR hang muc'!$A$2:$A$300,12)="","",INDEX('ORR hang muc'!$A$2:$A$300,12))</f>
        <v/>
      </c>
      <c r="I39" s="26">
        <f>IF(INDEX('ORR hang muc'!$D$2:$D$300,12)="","",INDEX('ORR hang muc'!$D$2:$D$300,12))</f>
        <v/>
      </c>
      <c r="J39" s="29">
        <f>IF(B39="","",INDEX('ORR hang muc'!$E$2:$E$300,12)/100)</f>
        <v/>
      </c>
      <c r="K39" s="6" t="n"/>
      <c r="L39" s="6" t="n"/>
      <c r="M39" s="6" t="n"/>
      <c r="N39" s="6" t="n"/>
      <c r="O39" s="6" t="n"/>
      <c r="P39" s="6" t="n"/>
      <c r="Q39" s="6" t="n"/>
      <c r="R39" s="6" t="n"/>
      <c r="S39" s="6" t="n"/>
      <c r="T39" s="6" t="n"/>
      <c r="U39" s="6" t="n"/>
      <c r="V39" s="6" t="n"/>
      <c r="W39" s="6" t="n"/>
      <c r="X39" s="6" t="n"/>
      <c r="Y39" s="6" t="n"/>
      <c r="Z39" s="6" t="n"/>
    </row>
    <row r="40">
      <c r="A40" s="6" t="n"/>
      <c r="B40" s="25">
        <f>IF(INDEX('ORR hang muc'!$B$2:$B$300,13)="","",INDEX('ORR hang muc'!$B$2:$B$300,13))</f>
        <v/>
      </c>
      <c r="C40" s="25">
        <f>IF(INDEX('ORR hang muc'!$C$2:$C$300,13)="","",INDEX('ORR hang muc'!$C$2:$C$300,13))</f>
        <v/>
      </c>
      <c r="D40" s="33" t="n"/>
      <c r="E40" s="33" t="n"/>
      <c r="F40" s="33" t="n"/>
      <c r="G40" s="33" t="n"/>
      <c r="H40" s="25">
        <f>IF(INDEX('ORR hang muc'!$A$2:$A$300,13)="","",INDEX('ORR hang muc'!$A$2:$A$300,13))</f>
        <v/>
      </c>
      <c r="I40" s="26">
        <f>IF(INDEX('ORR hang muc'!$D$2:$D$300,13)="","",INDEX('ORR hang muc'!$D$2:$D$300,13))</f>
        <v/>
      </c>
      <c r="J40" s="29">
        <f>IF(B40="","",INDEX('ORR hang muc'!$E$2:$E$300,13)/100)</f>
        <v/>
      </c>
      <c r="K40" s="6" t="n"/>
      <c r="L40" s="6" t="n"/>
      <c r="M40" s="6" t="n"/>
      <c r="N40" s="6" t="n"/>
      <c r="O40" s="6" t="n"/>
      <c r="P40" s="6" t="n"/>
      <c r="Q40" s="6" t="n"/>
      <c r="R40" s="6" t="n"/>
      <c r="S40" s="6" t="n"/>
      <c r="T40" s="6" t="n"/>
      <c r="U40" s="6" t="n"/>
      <c r="V40" s="6" t="n"/>
      <c r="W40" s="6" t="n"/>
      <c r="X40" s="6" t="n"/>
      <c r="Y40" s="6" t="n"/>
      <c r="Z40" s="6" t="n"/>
    </row>
    <row r="41">
      <c r="A41" s="6" t="n"/>
      <c r="B41" s="25">
        <f>IF(INDEX('ORR hang muc'!$B$2:$B$300,14)="","",INDEX('ORR hang muc'!$B$2:$B$300,14))</f>
        <v/>
      </c>
      <c r="C41" s="25">
        <f>IF(INDEX('ORR hang muc'!$C$2:$C$300,14)="","",INDEX('ORR hang muc'!$C$2:$C$300,14))</f>
        <v/>
      </c>
      <c r="D41" s="33" t="n"/>
      <c r="E41" s="33" t="n"/>
      <c r="F41" s="33" t="n"/>
      <c r="G41" s="33" t="n"/>
      <c r="H41" s="25">
        <f>IF(INDEX('ORR hang muc'!$A$2:$A$300,14)="","",INDEX('ORR hang muc'!$A$2:$A$300,14))</f>
        <v/>
      </c>
      <c r="I41" s="26">
        <f>IF(INDEX('ORR hang muc'!$D$2:$D$300,14)="","",INDEX('ORR hang muc'!$D$2:$D$300,14))</f>
        <v/>
      </c>
      <c r="J41" s="29">
        <f>IF(B41="","",INDEX('ORR hang muc'!$E$2:$E$300,14)/100)</f>
        <v/>
      </c>
      <c r="K41" s="6" t="n"/>
      <c r="L41" s="6" t="n"/>
      <c r="M41" s="6" t="n"/>
      <c r="N41" s="6" t="n"/>
      <c r="O41" s="6" t="n"/>
      <c r="P41" s="6" t="n"/>
      <c r="Q41" s="6" t="n"/>
      <c r="R41" s="6" t="n"/>
      <c r="S41" s="6" t="n"/>
      <c r="T41" s="6" t="n"/>
      <c r="U41" s="6" t="n"/>
      <c r="V41" s="6" t="n"/>
      <c r="W41" s="6" t="n"/>
      <c r="X41" s="6" t="n"/>
      <c r="Y41" s="6" t="n"/>
      <c r="Z41" s="6" t="n"/>
    </row>
    <row r="42">
      <c r="A42" s="6" t="n"/>
      <c r="B42" s="25">
        <f>IF(INDEX('ORR hang muc'!$B$2:$B$300,15)="","",INDEX('ORR hang muc'!$B$2:$B$300,15))</f>
        <v/>
      </c>
      <c r="C42" s="25">
        <f>IF(INDEX('ORR hang muc'!$C$2:$C$300,15)="","",INDEX('ORR hang muc'!$C$2:$C$300,15))</f>
        <v/>
      </c>
      <c r="D42" s="33" t="n"/>
      <c r="E42" s="33" t="n"/>
      <c r="F42" s="33" t="n"/>
      <c r="G42" s="33" t="n"/>
      <c r="H42" s="25">
        <f>IF(INDEX('ORR hang muc'!$A$2:$A$300,15)="","",INDEX('ORR hang muc'!$A$2:$A$300,15))</f>
        <v/>
      </c>
      <c r="I42" s="26">
        <f>IF(INDEX('ORR hang muc'!$D$2:$D$300,15)="","",INDEX('ORR hang muc'!$D$2:$D$300,15))</f>
        <v/>
      </c>
      <c r="J42" s="29">
        <f>IF(B42="","",INDEX('ORR hang muc'!$E$2:$E$300,15)/100)</f>
        <v/>
      </c>
      <c r="K42" s="6" t="n"/>
      <c r="L42" s="6" t="n"/>
      <c r="M42" s="6" t="n"/>
      <c r="N42" s="6" t="n"/>
      <c r="O42" s="6" t="n"/>
      <c r="P42" s="6" t="n"/>
      <c r="Q42" s="6" t="n"/>
      <c r="R42" s="6" t="n"/>
      <c r="S42" s="6" t="n"/>
      <c r="T42" s="6" t="n"/>
      <c r="U42" s="6" t="n"/>
      <c r="V42" s="6" t="n"/>
      <c r="W42" s="6" t="n"/>
      <c r="X42" s="6" t="n"/>
      <c r="Y42" s="6" t="n"/>
      <c r="Z42" s="6" t="n"/>
    </row>
    <row r="43">
      <c r="A43" s="6" t="n"/>
      <c r="B43" s="25">
        <f>IF(INDEX('ORR hang muc'!$B$2:$B$300,16)="","",INDEX('ORR hang muc'!$B$2:$B$300,16))</f>
        <v/>
      </c>
      <c r="C43" s="25">
        <f>IF(INDEX('ORR hang muc'!$C$2:$C$300,16)="","",INDEX('ORR hang muc'!$C$2:$C$300,16))</f>
        <v/>
      </c>
      <c r="D43" s="33" t="n"/>
      <c r="E43" s="33" t="n"/>
      <c r="F43" s="33" t="n"/>
      <c r="G43" s="33" t="n"/>
      <c r="H43" s="25">
        <f>IF(INDEX('ORR hang muc'!$A$2:$A$300,16)="","",INDEX('ORR hang muc'!$A$2:$A$300,16))</f>
        <v/>
      </c>
      <c r="I43" s="26">
        <f>IF(INDEX('ORR hang muc'!$D$2:$D$300,16)="","",INDEX('ORR hang muc'!$D$2:$D$300,16))</f>
        <v/>
      </c>
      <c r="J43" s="29">
        <f>IF(B43="","",INDEX('ORR hang muc'!$E$2:$E$300,16)/100)</f>
        <v/>
      </c>
      <c r="K43" s="6" t="n"/>
      <c r="L43" s="6" t="n"/>
      <c r="M43" s="6" t="n"/>
      <c r="N43" s="6" t="n"/>
      <c r="O43" s="6" t="n"/>
      <c r="P43" s="6" t="n"/>
      <c r="Q43" s="6" t="n"/>
      <c r="R43" s="6" t="n"/>
      <c r="S43" s="6" t="n"/>
      <c r="T43" s="6" t="n"/>
      <c r="U43" s="6" t="n"/>
      <c r="V43" s="6" t="n"/>
      <c r="W43" s="6" t="n"/>
      <c r="X43" s="6" t="n"/>
      <c r="Y43" s="6" t="n"/>
      <c r="Z43" s="6" t="n"/>
    </row>
    <row r="44">
      <c r="A44" s="6" t="n"/>
      <c r="B44" s="25">
        <f>IF(INDEX('ORR hang muc'!$B$2:$B$300,17)="","",INDEX('ORR hang muc'!$B$2:$B$300,17))</f>
        <v/>
      </c>
      <c r="C44" s="25">
        <f>IF(INDEX('ORR hang muc'!$C$2:$C$300,17)="","",INDEX('ORR hang muc'!$C$2:$C$300,17))</f>
        <v/>
      </c>
      <c r="D44" s="33" t="n"/>
      <c r="E44" s="33" t="n"/>
      <c r="F44" s="33" t="n"/>
      <c r="G44" s="33" t="n"/>
      <c r="H44" s="25">
        <f>IF(INDEX('ORR hang muc'!$A$2:$A$300,17)="","",INDEX('ORR hang muc'!$A$2:$A$300,17))</f>
        <v/>
      </c>
      <c r="I44" s="26">
        <f>IF(INDEX('ORR hang muc'!$D$2:$D$300,17)="","",INDEX('ORR hang muc'!$D$2:$D$300,17))</f>
        <v/>
      </c>
      <c r="J44" s="29">
        <f>IF(B44="","",INDEX('ORR hang muc'!$E$2:$E$300,17)/100)</f>
        <v/>
      </c>
      <c r="K44" s="6" t="n"/>
      <c r="L44" s="6" t="n"/>
      <c r="M44" s="6" t="n"/>
      <c r="N44" s="6" t="n"/>
      <c r="O44" s="6" t="n"/>
      <c r="P44" s="6" t="n"/>
      <c r="Q44" s="6" t="n"/>
      <c r="R44" s="6" t="n"/>
      <c r="S44" s="6" t="n"/>
      <c r="T44" s="6" t="n"/>
      <c r="U44" s="6" t="n"/>
      <c r="V44" s="6" t="n"/>
      <c r="W44" s="6" t="n"/>
      <c r="X44" s="6" t="n"/>
      <c r="Y44" s="6" t="n"/>
      <c r="Z44" s="6" t="n"/>
    </row>
    <row r="45">
      <c r="A45" s="6" t="n"/>
      <c r="B45" s="25">
        <f>IF(INDEX('ORR hang muc'!$B$2:$B$300,18)="","",INDEX('ORR hang muc'!$B$2:$B$300,18))</f>
        <v/>
      </c>
      <c r="C45" s="25">
        <f>IF(INDEX('ORR hang muc'!$C$2:$C$300,18)="","",INDEX('ORR hang muc'!$C$2:$C$300,18))</f>
        <v/>
      </c>
      <c r="D45" s="33" t="n"/>
      <c r="E45" s="33" t="n"/>
      <c r="F45" s="33" t="n"/>
      <c r="G45" s="33" t="n"/>
      <c r="H45" s="25">
        <f>IF(INDEX('ORR hang muc'!$A$2:$A$300,18)="","",INDEX('ORR hang muc'!$A$2:$A$300,18))</f>
        <v/>
      </c>
      <c r="I45" s="26">
        <f>IF(INDEX('ORR hang muc'!$D$2:$D$300,18)="","",INDEX('ORR hang muc'!$D$2:$D$300,18))</f>
        <v/>
      </c>
      <c r="J45" s="29">
        <f>IF(B45="","",INDEX('ORR hang muc'!$E$2:$E$300,18)/100)</f>
        <v/>
      </c>
      <c r="K45" s="6" t="n"/>
      <c r="L45" s="6" t="n"/>
      <c r="M45" s="6" t="n"/>
      <c r="N45" s="6" t="n"/>
      <c r="O45" s="6" t="n"/>
      <c r="P45" s="6" t="n"/>
      <c r="Q45" s="6" t="n"/>
      <c r="R45" s="6" t="n"/>
      <c r="S45" s="6" t="n"/>
      <c r="T45" s="6" t="n"/>
      <c r="U45" s="6" t="n"/>
      <c r="V45" s="6" t="n"/>
      <c r="W45" s="6" t="n"/>
      <c r="X45" s="6" t="n"/>
      <c r="Y45" s="6" t="n"/>
      <c r="Z45" s="6" t="n"/>
    </row>
    <row r="46">
      <c r="A46" s="6" t="n"/>
      <c r="B46" s="25">
        <f>IF(INDEX('ORR hang muc'!$B$2:$B$300,19)="","",INDEX('ORR hang muc'!$B$2:$B$300,19))</f>
        <v/>
      </c>
      <c r="C46" s="25">
        <f>IF(INDEX('ORR hang muc'!$C$2:$C$300,19)="","",INDEX('ORR hang muc'!$C$2:$C$300,19))</f>
        <v/>
      </c>
      <c r="D46" s="33" t="n"/>
      <c r="E46" s="33" t="n"/>
      <c r="F46" s="33" t="n"/>
      <c r="G46" s="33" t="n"/>
      <c r="H46" s="25">
        <f>IF(INDEX('ORR hang muc'!$A$2:$A$300,19)="","",INDEX('ORR hang muc'!$A$2:$A$300,19))</f>
        <v/>
      </c>
      <c r="I46" s="26">
        <f>IF(INDEX('ORR hang muc'!$D$2:$D$300,19)="","",INDEX('ORR hang muc'!$D$2:$D$300,19))</f>
        <v/>
      </c>
      <c r="J46" s="29">
        <f>IF(B46="","",INDEX('ORR hang muc'!$E$2:$E$300,19)/100)</f>
        <v/>
      </c>
      <c r="K46" s="6" t="n"/>
      <c r="L46" s="6" t="n"/>
      <c r="M46" s="6" t="n"/>
      <c r="N46" s="6" t="n"/>
      <c r="O46" s="6" t="n"/>
      <c r="P46" s="6" t="n"/>
      <c r="Q46" s="6" t="n"/>
      <c r="R46" s="6" t="n"/>
      <c r="S46" s="6" t="n"/>
      <c r="T46" s="6" t="n"/>
      <c r="U46" s="6" t="n"/>
      <c r="V46" s="6" t="n"/>
      <c r="W46" s="6" t="n"/>
      <c r="X46" s="6" t="n"/>
      <c r="Y46" s="6" t="n"/>
      <c r="Z46" s="6" t="n"/>
    </row>
    <row r="47">
      <c r="A47" s="6" t="n"/>
      <c r="B47" s="25">
        <f>IF(INDEX('ORR hang muc'!$B$2:$B$300,20)="","",INDEX('ORR hang muc'!$B$2:$B$300,20))</f>
        <v/>
      </c>
      <c r="C47" s="25">
        <f>IF(INDEX('ORR hang muc'!$C$2:$C$300,20)="","",INDEX('ORR hang muc'!$C$2:$C$300,20))</f>
        <v/>
      </c>
      <c r="D47" s="33" t="n"/>
      <c r="E47" s="33" t="n"/>
      <c r="F47" s="33" t="n"/>
      <c r="G47" s="33" t="n"/>
      <c r="H47" s="25">
        <f>IF(INDEX('ORR hang muc'!$A$2:$A$300,20)="","",INDEX('ORR hang muc'!$A$2:$A$300,20))</f>
        <v/>
      </c>
      <c r="I47" s="26">
        <f>IF(INDEX('ORR hang muc'!$D$2:$D$300,20)="","",INDEX('ORR hang muc'!$D$2:$D$300,20))</f>
        <v/>
      </c>
      <c r="J47" s="29">
        <f>IF(B47="","",INDEX('ORR hang muc'!$E$2:$E$300,20)/100)</f>
        <v/>
      </c>
      <c r="K47" s="6" t="n"/>
      <c r="L47" s="6" t="n"/>
      <c r="M47" s="6" t="n"/>
      <c r="N47" s="6" t="n"/>
      <c r="O47" s="6" t="n"/>
      <c r="P47" s="6" t="n"/>
      <c r="Q47" s="6" t="n"/>
      <c r="R47" s="6" t="n"/>
      <c r="S47" s="6" t="n"/>
      <c r="T47" s="6" t="n"/>
      <c r="U47" s="6" t="n"/>
      <c r="V47" s="6" t="n"/>
      <c r="W47" s="6" t="n"/>
      <c r="X47" s="6" t="n"/>
      <c r="Y47" s="6" t="n"/>
      <c r="Z47" s="6" t="n"/>
    </row>
    <row r="48">
      <c r="A48" s="6" t="n"/>
      <c r="B48" s="25">
        <f>IF(INDEX('ORR hang muc'!$B$2:$B$300,21)="","",INDEX('ORR hang muc'!$B$2:$B$300,21))</f>
        <v/>
      </c>
      <c r="C48" s="25">
        <f>IF(INDEX('ORR hang muc'!$C$2:$C$300,21)="","",INDEX('ORR hang muc'!$C$2:$C$300,21))</f>
        <v/>
      </c>
      <c r="D48" s="33" t="n"/>
      <c r="E48" s="33" t="n"/>
      <c r="F48" s="33" t="n"/>
      <c r="G48" s="33" t="n"/>
      <c r="H48" s="25">
        <f>IF(INDEX('ORR hang muc'!$A$2:$A$300,21)="","",INDEX('ORR hang muc'!$A$2:$A$300,21))</f>
        <v/>
      </c>
      <c r="I48" s="26">
        <f>IF(INDEX('ORR hang muc'!$D$2:$D$300,21)="","",INDEX('ORR hang muc'!$D$2:$D$300,21))</f>
        <v/>
      </c>
      <c r="J48" s="29">
        <f>IF(B48="","",INDEX('ORR hang muc'!$E$2:$E$300,21)/100)</f>
        <v/>
      </c>
      <c r="K48" s="6" t="n"/>
      <c r="L48" s="6" t="n"/>
      <c r="M48" s="6" t="n"/>
      <c r="N48" s="6" t="n"/>
      <c r="O48" s="6" t="n"/>
      <c r="P48" s="6" t="n"/>
      <c r="Q48" s="6" t="n"/>
      <c r="R48" s="6" t="n"/>
      <c r="S48" s="6" t="n"/>
      <c r="T48" s="6" t="n"/>
      <c r="U48" s="6" t="n"/>
      <c r="V48" s="6" t="n"/>
      <c r="W48" s="6" t="n"/>
      <c r="X48" s="6" t="n"/>
      <c r="Y48" s="6" t="n"/>
      <c r="Z48" s="6" t="n"/>
    </row>
    <row r="49">
      <c r="A49" s="6" t="n"/>
      <c r="B49" s="25">
        <f>IF(INDEX('ORR hang muc'!$B$2:$B$300,22)="","",INDEX('ORR hang muc'!$B$2:$B$300,22))</f>
        <v/>
      </c>
      <c r="C49" s="25">
        <f>IF(INDEX('ORR hang muc'!$C$2:$C$300,22)="","",INDEX('ORR hang muc'!$C$2:$C$300,22))</f>
        <v/>
      </c>
      <c r="D49" s="33" t="n"/>
      <c r="E49" s="33" t="n"/>
      <c r="F49" s="33" t="n"/>
      <c r="G49" s="33" t="n"/>
      <c r="H49" s="25">
        <f>IF(INDEX('ORR hang muc'!$A$2:$A$300,22)="","",INDEX('ORR hang muc'!$A$2:$A$300,22))</f>
        <v/>
      </c>
      <c r="I49" s="26">
        <f>IF(INDEX('ORR hang muc'!$D$2:$D$300,22)="","",INDEX('ORR hang muc'!$D$2:$D$300,22))</f>
        <v/>
      </c>
      <c r="J49" s="29">
        <f>IF(B49="","",INDEX('ORR hang muc'!$E$2:$E$300,22)/100)</f>
        <v/>
      </c>
      <c r="K49" s="6" t="n"/>
      <c r="L49" s="6" t="n"/>
      <c r="M49" s="6" t="n"/>
      <c r="N49" s="6" t="n"/>
      <c r="O49" s="6" t="n"/>
      <c r="P49" s="6" t="n"/>
      <c r="Q49" s="6" t="n"/>
      <c r="R49" s="6" t="n"/>
      <c r="S49" s="6" t="n"/>
      <c r="T49" s="6" t="n"/>
      <c r="U49" s="6" t="n"/>
      <c r="V49" s="6" t="n"/>
      <c r="W49" s="6" t="n"/>
      <c r="X49" s="6" t="n"/>
      <c r="Y49" s="6" t="n"/>
      <c r="Z49" s="6" t="n"/>
    </row>
    <row r="50">
      <c r="A50" s="6" t="n"/>
      <c r="B50" s="25">
        <f>IF(INDEX('ORR hang muc'!$B$2:$B$300,23)="","",INDEX('ORR hang muc'!$B$2:$B$300,23))</f>
        <v/>
      </c>
      <c r="C50" s="25">
        <f>IF(INDEX('ORR hang muc'!$C$2:$C$300,23)="","",INDEX('ORR hang muc'!$C$2:$C$300,23))</f>
        <v/>
      </c>
      <c r="D50" s="33" t="n"/>
      <c r="E50" s="33" t="n"/>
      <c r="F50" s="33" t="n"/>
      <c r="G50" s="33" t="n"/>
      <c r="H50" s="25">
        <f>IF(INDEX('ORR hang muc'!$A$2:$A$300,23)="","",INDEX('ORR hang muc'!$A$2:$A$300,23))</f>
        <v/>
      </c>
      <c r="I50" s="26">
        <f>IF(INDEX('ORR hang muc'!$D$2:$D$300,23)="","",INDEX('ORR hang muc'!$D$2:$D$300,23))</f>
        <v/>
      </c>
      <c r="J50" s="29">
        <f>IF(B50="","",INDEX('ORR hang muc'!$E$2:$E$300,23)/100)</f>
        <v/>
      </c>
      <c r="K50" s="6" t="n"/>
      <c r="L50" s="6" t="n"/>
      <c r="M50" s="6" t="n"/>
      <c r="N50" s="6" t="n"/>
      <c r="O50" s="6" t="n"/>
      <c r="P50" s="6" t="n"/>
      <c r="Q50" s="6" t="n"/>
      <c r="R50" s="6" t="n"/>
      <c r="S50" s="6" t="n"/>
      <c r="T50" s="6" t="n"/>
      <c r="U50" s="6" t="n"/>
      <c r="V50" s="6" t="n"/>
      <c r="W50" s="6" t="n"/>
      <c r="X50" s="6" t="n"/>
      <c r="Y50" s="6" t="n"/>
      <c r="Z50" s="6" t="n"/>
    </row>
    <row r="51">
      <c r="A51" s="6" t="n"/>
      <c r="B51" s="25">
        <f>IF(INDEX('ORR hang muc'!$B$2:$B$300,24)="","",INDEX('ORR hang muc'!$B$2:$B$300,24))</f>
        <v/>
      </c>
      <c r="C51" s="25">
        <f>IF(INDEX('ORR hang muc'!$C$2:$C$300,24)="","",INDEX('ORR hang muc'!$C$2:$C$300,24))</f>
        <v/>
      </c>
      <c r="D51" s="33" t="n"/>
      <c r="E51" s="33" t="n"/>
      <c r="F51" s="33" t="n"/>
      <c r="G51" s="33" t="n"/>
      <c r="H51" s="25">
        <f>IF(INDEX('ORR hang muc'!$A$2:$A$300,24)="","",INDEX('ORR hang muc'!$A$2:$A$300,24))</f>
        <v/>
      </c>
      <c r="I51" s="26">
        <f>IF(INDEX('ORR hang muc'!$D$2:$D$300,24)="","",INDEX('ORR hang muc'!$D$2:$D$300,24))</f>
        <v/>
      </c>
      <c r="J51" s="29">
        <f>IF(B51="","",INDEX('ORR hang muc'!$E$2:$E$300,24)/100)</f>
        <v/>
      </c>
      <c r="K51" s="6" t="n"/>
      <c r="L51" s="6" t="n"/>
      <c r="M51" s="6" t="n"/>
      <c r="N51" s="6" t="n"/>
      <c r="O51" s="6" t="n"/>
      <c r="P51" s="6" t="n"/>
      <c r="Q51" s="6" t="n"/>
      <c r="R51" s="6" t="n"/>
      <c r="S51" s="6" t="n"/>
      <c r="T51" s="6" t="n"/>
      <c r="U51" s="6" t="n"/>
      <c r="V51" s="6" t="n"/>
      <c r="W51" s="6" t="n"/>
      <c r="X51" s="6" t="n"/>
      <c r="Y51" s="6" t="n"/>
      <c r="Z51" s="6" t="n"/>
    </row>
    <row r="52">
      <c r="A52" s="6" t="n"/>
      <c r="B52" s="25">
        <f>IF(INDEX('ORR hang muc'!$B$2:$B$300,25)="","",INDEX('ORR hang muc'!$B$2:$B$300,25))</f>
        <v/>
      </c>
      <c r="C52" s="25">
        <f>IF(INDEX('ORR hang muc'!$C$2:$C$300,25)="","",INDEX('ORR hang muc'!$C$2:$C$300,25))</f>
        <v/>
      </c>
      <c r="D52" s="33" t="n"/>
      <c r="E52" s="33" t="n"/>
      <c r="F52" s="33" t="n"/>
      <c r="G52" s="33" t="n"/>
      <c r="H52" s="25">
        <f>IF(INDEX('ORR hang muc'!$A$2:$A$300,25)="","",INDEX('ORR hang muc'!$A$2:$A$300,25))</f>
        <v/>
      </c>
      <c r="I52" s="26">
        <f>IF(INDEX('ORR hang muc'!$D$2:$D$300,25)="","",INDEX('ORR hang muc'!$D$2:$D$300,25))</f>
        <v/>
      </c>
      <c r="J52" s="29">
        <f>IF(B52="","",INDEX('ORR hang muc'!$E$2:$E$300,25)/100)</f>
        <v/>
      </c>
      <c r="K52" s="6" t="n"/>
      <c r="L52" s="6" t="n"/>
      <c r="M52" s="6" t="n"/>
      <c r="N52" s="6" t="n"/>
      <c r="O52" s="6" t="n"/>
      <c r="P52" s="6" t="n"/>
      <c r="Q52" s="6" t="n"/>
      <c r="R52" s="6" t="n"/>
      <c r="S52" s="6" t="n"/>
      <c r="T52" s="6" t="n"/>
      <c r="U52" s="6" t="n"/>
      <c r="V52" s="6" t="n"/>
      <c r="W52" s="6" t="n"/>
      <c r="X52" s="6" t="n"/>
      <c r="Y52" s="6" t="n"/>
      <c r="Z52" s="6" t="n"/>
    </row>
    <row r="53">
      <c r="A53" s="6" t="n"/>
      <c r="B53" s="25">
        <f>IF(INDEX('ORR hang muc'!$B$2:$B$300,26)="","",INDEX('ORR hang muc'!$B$2:$B$300,26))</f>
        <v/>
      </c>
      <c r="C53" s="25">
        <f>IF(INDEX('ORR hang muc'!$C$2:$C$300,26)="","",INDEX('ORR hang muc'!$C$2:$C$300,26))</f>
        <v/>
      </c>
      <c r="D53" s="33" t="n"/>
      <c r="E53" s="33" t="n"/>
      <c r="F53" s="33" t="n"/>
      <c r="G53" s="33" t="n"/>
      <c r="H53" s="25">
        <f>IF(INDEX('ORR hang muc'!$A$2:$A$300,26)="","",INDEX('ORR hang muc'!$A$2:$A$300,26))</f>
        <v/>
      </c>
      <c r="I53" s="26">
        <f>IF(INDEX('ORR hang muc'!$D$2:$D$300,26)="","",INDEX('ORR hang muc'!$D$2:$D$300,26))</f>
        <v/>
      </c>
      <c r="J53" s="29">
        <f>IF(B53="","",INDEX('ORR hang muc'!$E$2:$E$300,26)/100)</f>
        <v/>
      </c>
      <c r="K53" s="6" t="n"/>
      <c r="L53" s="6" t="n"/>
      <c r="M53" s="6" t="n"/>
      <c r="N53" s="6" t="n"/>
      <c r="O53" s="6" t="n"/>
      <c r="P53" s="6" t="n"/>
      <c r="Q53" s="6" t="n"/>
      <c r="R53" s="6" t="n"/>
      <c r="S53" s="6" t="n"/>
      <c r="T53" s="6" t="n"/>
      <c r="U53" s="6" t="n"/>
      <c r="V53" s="6" t="n"/>
      <c r="W53" s="6" t="n"/>
      <c r="X53" s="6" t="n"/>
      <c r="Y53" s="6" t="n"/>
      <c r="Z53" s="6" t="n"/>
    </row>
    <row r="54">
      <c r="A54" s="6" t="n"/>
      <c r="B54" s="25">
        <f>IF(INDEX('ORR hang muc'!$B$2:$B$300,27)="","",INDEX('ORR hang muc'!$B$2:$B$300,27))</f>
        <v/>
      </c>
      <c r="C54" s="25">
        <f>IF(INDEX('ORR hang muc'!$C$2:$C$300,27)="","",INDEX('ORR hang muc'!$C$2:$C$300,27))</f>
        <v/>
      </c>
      <c r="D54" s="33" t="n"/>
      <c r="E54" s="33" t="n"/>
      <c r="F54" s="33" t="n"/>
      <c r="G54" s="33" t="n"/>
      <c r="H54" s="25">
        <f>IF(INDEX('ORR hang muc'!$A$2:$A$300,27)="","",INDEX('ORR hang muc'!$A$2:$A$300,27))</f>
        <v/>
      </c>
      <c r="I54" s="26">
        <f>IF(INDEX('ORR hang muc'!$D$2:$D$300,27)="","",INDEX('ORR hang muc'!$D$2:$D$300,27))</f>
        <v/>
      </c>
      <c r="J54" s="29">
        <f>IF(B54="","",INDEX('ORR hang muc'!$E$2:$E$300,27)/100)</f>
        <v/>
      </c>
      <c r="K54" s="6" t="n"/>
      <c r="L54" s="6" t="n"/>
      <c r="M54" s="6" t="n"/>
      <c r="N54" s="6" t="n"/>
      <c r="O54" s="6" t="n"/>
      <c r="P54" s="6" t="n"/>
      <c r="Q54" s="6" t="n"/>
      <c r="R54" s="6" t="n"/>
      <c r="S54" s="6" t="n"/>
      <c r="T54" s="6" t="n"/>
      <c r="U54" s="6" t="n"/>
      <c r="V54" s="6" t="n"/>
      <c r="W54" s="6" t="n"/>
      <c r="X54" s="6" t="n"/>
      <c r="Y54" s="6" t="n"/>
      <c r="Z54" s="6" t="n"/>
    </row>
    <row r="55">
      <c r="A55" s="6" t="n"/>
      <c r="B55" s="25">
        <f>IF(INDEX('ORR hang muc'!$B$2:$B$300,28)="","",INDEX('ORR hang muc'!$B$2:$B$300,28))</f>
        <v/>
      </c>
      <c r="C55" s="25">
        <f>IF(INDEX('ORR hang muc'!$C$2:$C$300,28)="","",INDEX('ORR hang muc'!$C$2:$C$300,28))</f>
        <v/>
      </c>
      <c r="D55" s="33" t="n"/>
      <c r="E55" s="33" t="n"/>
      <c r="F55" s="33" t="n"/>
      <c r="G55" s="33" t="n"/>
      <c r="H55" s="25">
        <f>IF(INDEX('ORR hang muc'!$A$2:$A$300,28)="","",INDEX('ORR hang muc'!$A$2:$A$300,28))</f>
        <v/>
      </c>
      <c r="I55" s="26">
        <f>IF(INDEX('ORR hang muc'!$D$2:$D$300,28)="","",INDEX('ORR hang muc'!$D$2:$D$300,28))</f>
        <v/>
      </c>
      <c r="J55" s="29">
        <f>IF(B55="","",INDEX('ORR hang muc'!$E$2:$E$300,28)/100)</f>
        <v/>
      </c>
      <c r="K55" s="6" t="n"/>
      <c r="L55" s="6" t="n"/>
      <c r="M55" s="6" t="n"/>
      <c r="N55" s="6" t="n"/>
      <c r="O55" s="6" t="n"/>
      <c r="P55" s="6" t="n"/>
      <c r="Q55" s="6" t="n"/>
      <c r="R55" s="6" t="n"/>
      <c r="S55" s="6" t="n"/>
      <c r="T55" s="6" t="n"/>
      <c r="U55" s="6" t="n"/>
      <c r="V55" s="6" t="n"/>
      <c r="W55" s="6" t="n"/>
      <c r="X55" s="6" t="n"/>
      <c r="Y55" s="6" t="n"/>
      <c r="Z55" s="6" t="n"/>
    </row>
    <row r="56">
      <c r="A56" s="6" t="n"/>
      <c r="B56" s="25">
        <f>IF(INDEX('ORR hang muc'!$B$2:$B$300,29)="","",INDEX('ORR hang muc'!$B$2:$B$300,29))</f>
        <v/>
      </c>
      <c r="C56" s="25">
        <f>IF(INDEX('ORR hang muc'!$C$2:$C$300,29)="","",INDEX('ORR hang muc'!$C$2:$C$300,29))</f>
        <v/>
      </c>
      <c r="D56" s="33" t="n"/>
      <c r="E56" s="33" t="n"/>
      <c r="F56" s="33" t="n"/>
      <c r="G56" s="33" t="n"/>
      <c r="H56" s="25">
        <f>IF(INDEX('ORR hang muc'!$A$2:$A$300,29)="","",INDEX('ORR hang muc'!$A$2:$A$300,29))</f>
        <v/>
      </c>
      <c r="I56" s="26">
        <f>IF(INDEX('ORR hang muc'!$D$2:$D$300,29)="","",INDEX('ORR hang muc'!$D$2:$D$300,29))</f>
        <v/>
      </c>
      <c r="J56" s="29">
        <f>IF(B56="","",INDEX('ORR hang muc'!$E$2:$E$300,29)/100)</f>
        <v/>
      </c>
      <c r="K56" s="6" t="n"/>
      <c r="L56" s="6" t="n"/>
      <c r="M56" s="6" t="n"/>
      <c r="N56" s="6" t="n"/>
      <c r="O56" s="6" t="n"/>
      <c r="P56" s="6" t="n"/>
      <c r="Q56" s="6" t="n"/>
      <c r="R56" s="6" t="n"/>
      <c r="S56" s="6" t="n"/>
      <c r="T56" s="6" t="n"/>
      <c r="U56" s="6" t="n"/>
      <c r="V56" s="6" t="n"/>
      <c r="W56" s="6" t="n"/>
      <c r="X56" s="6" t="n"/>
      <c r="Y56" s="6" t="n"/>
      <c r="Z56" s="6" t="n"/>
    </row>
    <row r="57">
      <c r="A57" s="6" t="n"/>
      <c r="B57" s="25">
        <f>IF(INDEX('ORR hang muc'!$B$2:$B$300,30)="","",INDEX('ORR hang muc'!$B$2:$B$300,30))</f>
        <v/>
      </c>
      <c r="C57" s="25">
        <f>IF(INDEX('ORR hang muc'!$C$2:$C$300,30)="","",INDEX('ORR hang muc'!$C$2:$C$300,30))</f>
        <v/>
      </c>
      <c r="D57" s="33" t="n"/>
      <c r="E57" s="33" t="n"/>
      <c r="F57" s="33" t="n"/>
      <c r="G57" s="33" t="n"/>
      <c r="H57" s="25">
        <f>IF(INDEX('ORR hang muc'!$A$2:$A$300,30)="","",INDEX('ORR hang muc'!$A$2:$A$300,30))</f>
        <v/>
      </c>
      <c r="I57" s="26">
        <f>IF(INDEX('ORR hang muc'!$D$2:$D$300,30)="","",INDEX('ORR hang muc'!$D$2:$D$300,30))</f>
        <v/>
      </c>
      <c r="J57" s="29">
        <f>IF(B57="","",INDEX('ORR hang muc'!$E$2:$E$300,30)/100)</f>
        <v/>
      </c>
      <c r="K57" s="6" t="n"/>
      <c r="L57" s="6" t="n"/>
      <c r="M57" s="6" t="n"/>
      <c r="N57" s="6" t="n"/>
      <c r="O57" s="6" t="n"/>
      <c r="P57" s="6" t="n"/>
      <c r="Q57" s="6" t="n"/>
      <c r="R57" s="6" t="n"/>
      <c r="S57" s="6" t="n"/>
      <c r="T57" s="6" t="n"/>
      <c r="U57" s="6" t="n"/>
      <c r="V57" s="6" t="n"/>
      <c r="W57" s="6" t="n"/>
      <c r="X57" s="6" t="n"/>
      <c r="Y57" s="6" t="n"/>
      <c r="Z57" s="6" t="n"/>
    </row>
    <row r="58">
      <c r="A58" s="6" t="n"/>
      <c r="B58" s="6" t="n"/>
      <c r="C58" s="6" t="n"/>
      <c r="D58" s="6" t="n"/>
      <c r="E58" s="6" t="n"/>
      <c r="F58" s="6" t="n"/>
      <c r="G58" s="6" t="n"/>
      <c r="H58" s="6" t="n"/>
      <c r="I58" s="6" t="n"/>
      <c r="J58" s="6" t="n"/>
      <c r="K58" s="6" t="n"/>
      <c r="L58" s="6" t="n"/>
      <c r="M58" s="6" t="n"/>
      <c r="N58" s="6" t="n"/>
      <c r="O58" s="6" t="n"/>
      <c r="P58" s="6" t="n"/>
      <c r="Q58" s="6" t="n"/>
      <c r="R58" s="6" t="n"/>
      <c r="S58" s="6" t="n"/>
      <c r="T58" s="6" t="n"/>
      <c r="U58" s="6" t="n"/>
      <c r="V58" s="6" t="n"/>
      <c r="W58" s="6" t="n"/>
      <c r="X58" s="6" t="n"/>
      <c r="Y58" s="6" t="n"/>
      <c r="Z58" s="6" t="n"/>
    </row>
    <row r="59">
      <c r="A59" s="6" t="n"/>
      <c r="B59" s="6" t="n"/>
      <c r="C59" s="6" t="n"/>
      <c r="D59" s="6" t="n"/>
      <c r="E59" s="6" t="n"/>
      <c r="F59" s="6" t="n"/>
      <c r="G59" s="6" t="n"/>
      <c r="H59" s="6" t="n"/>
      <c r="I59" s="6" t="n"/>
      <c r="J59" s="6" t="n"/>
      <c r="K59" s="6" t="n"/>
      <c r="L59" s="6" t="n"/>
      <c r="M59" s="6" t="n"/>
      <c r="N59" s="6" t="n"/>
      <c r="O59" s="6" t="n"/>
      <c r="P59" s="6" t="n"/>
      <c r="Q59" s="6" t="n"/>
      <c r="R59" s="6" t="n"/>
      <c r="S59" s="6" t="n"/>
      <c r="T59" s="6" t="n"/>
      <c r="U59" s="6" t="n"/>
      <c r="V59" s="6" t="n"/>
      <c r="W59" s="6" t="n"/>
      <c r="X59" s="6" t="n"/>
      <c r="Y59" s="6" t="n"/>
      <c r="Z59" s="6" t="n"/>
    </row>
    <row r="60">
      <c r="A60" s="6" t="n"/>
      <c r="B60" s="6" t="n"/>
      <c r="C60" s="6" t="n"/>
      <c r="D60" s="6" t="n"/>
      <c r="E60" s="6" t="n"/>
      <c r="F60" s="6" t="n"/>
      <c r="G60" s="6" t="n"/>
      <c r="H60" s="6" t="n"/>
      <c r="I60" s="6" t="n"/>
      <c r="J60" s="6" t="n"/>
      <c r="K60" s="6" t="n"/>
      <c r="L60" s="6" t="n"/>
      <c r="M60" s="6" t="n"/>
      <c r="N60" s="6" t="n"/>
      <c r="O60" s="6" t="n"/>
      <c r="P60" s="6" t="n"/>
      <c r="Q60" s="6" t="n"/>
      <c r="R60" s="6" t="n"/>
      <c r="S60" s="6" t="n"/>
      <c r="T60" s="6" t="n"/>
      <c r="U60" s="6" t="n"/>
      <c r="V60" s="6" t="n"/>
      <c r="W60" s="6" t="n"/>
      <c r="X60" s="6" t="n"/>
      <c r="Y60" s="6" t="n"/>
      <c r="Z60" s="6" t="n"/>
    </row>
    <row r="61">
      <c r="A61" s="6" t="n"/>
      <c r="B61" s="6" t="n"/>
      <c r="C61" s="6" t="n"/>
      <c r="D61" s="6" t="n"/>
      <c r="E61" s="6" t="n"/>
      <c r="F61" s="6" t="n"/>
      <c r="G61" s="6" t="n"/>
      <c r="H61" s="6" t="n"/>
      <c r="I61" s="6" t="n"/>
      <c r="J61" s="6" t="n"/>
      <c r="K61" s="6" t="n"/>
      <c r="L61" s="6" t="n"/>
      <c r="M61" s="6" t="n"/>
      <c r="N61" s="6" t="n"/>
      <c r="O61" s="6" t="n"/>
      <c r="P61" s="6" t="n"/>
      <c r="Q61" s="6" t="n"/>
      <c r="R61" s="6" t="n"/>
      <c r="S61" s="6" t="n"/>
      <c r="T61" s="6" t="n"/>
      <c r="U61" s="6" t="n"/>
      <c r="V61" s="6" t="n"/>
      <c r="W61" s="6" t="n"/>
      <c r="X61" s="6" t="n"/>
      <c r="Y61" s="6" t="n"/>
      <c r="Z61" s="6" t="n"/>
    </row>
    <row r="62">
      <c r="A62" s="6" t="n"/>
      <c r="B62" s="6" t="n"/>
      <c r="C62" s="6" t="n"/>
      <c r="D62" s="6" t="n"/>
      <c r="E62" s="6" t="n"/>
      <c r="F62" s="6" t="n"/>
      <c r="G62" s="6" t="n"/>
      <c r="H62" s="6" t="n"/>
      <c r="I62" s="6" t="n"/>
      <c r="J62" s="6" t="n"/>
      <c r="K62" s="6" t="n"/>
      <c r="L62" s="6" t="n"/>
      <c r="M62" s="6" t="n"/>
      <c r="N62" s="6" t="n"/>
      <c r="O62" s="6" t="n"/>
      <c r="P62" s="6" t="n"/>
      <c r="Q62" s="6" t="n"/>
      <c r="R62" s="6" t="n"/>
      <c r="S62" s="6" t="n"/>
      <c r="T62" s="6" t="n"/>
      <c r="U62" s="6" t="n"/>
      <c r="V62" s="6" t="n"/>
      <c r="W62" s="6" t="n"/>
      <c r="X62" s="6" t="n"/>
      <c r="Y62" s="6" t="n"/>
      <c r="Z62" s="6" t="n"/>
    </row>
    <row r="63">
      <c r="A63" s="6" t="n"/>
      <c r="B63" s="6" t="n"/>
      <c r="C63" s="6" t="n"/>
      <c r="D63" s="6" t="n"/>
      <c r="E63" s="6" t="n"/>
      <c r="F63" s="6" t="n"/>
      <c r="G63" s="6" t="n"/>
      <c r="H63" s="6" t="n"/>
      <c r="I63" s="6" t="n"/>
      <c r="J63" s="6" t="n"/>
      <c r="K63" s="6" t="n"/>
      <c r="L63" s="6" t="n"/>
      <c r="M63" s="6" t="n"/>
      <c r="N63" s="6" t="n"/>
      <c r="O63" s="6" t="n"/>
      <c r="P63" s="6" t="n"/>
      <c r="Q63" s="6" t="n"/>
      <c r="R63" s="6" t="n"/>
      <c r="S63" s="6" t="n"/>
      <c r="T63" s="6" t="n"/>
      <c r="U63" s="6" t="n"/>
      <c r="V63" s="6" t="n"/>
      <c r="W63" s="6" t="n"/>
      <c r="X63" s="6" t="n"/>
      <c r="Y63" s="6" t="n"/>
      <c r="Z63" s="6" t="n"/>
    </row>
    <row r="64">
      <c r="A64" s="6" t="n"/>
      <c r="B64" s="6" t="n"/>
      <c r="C64" s="6" t="n"/>
      <c r="D64" s="6" t="n"/>
      <c r="E64" s="6" t="n"/>
      <c r="F64" s="6" t="n"/>
      <c r="G64" s="6" t="n"/>
      <c r="H64" s="6" t="n"/>
      <c r="I64" s="6" t="n"/>
      <c r="J64" s="6" t="n"/>
      <c r="K64" s="6" t="n"/>
      <c r="L64" s="6" t="n"/>
      <c r="M64" s="6" t="n"/>
      <c r="N64" s="6" t="n"/>
      <c r="O64" s="6" t="n"/>
      <c r="P64" s="6" t="n"/>
      <c r="Q64" s="6" t="n"/>
      <c r="R64" s="6" t="n"/>
      <c r="S64" s="6" t="n"/>
      <c r="T64" s="6" t="n"/>
      <c r="U64" s="6" t="n"/>
      <c r="V64" s="6" t="n"/>
      <c r="W64" s="6" t="n"/>
      <c r="X64" s="6" t="n"/>
      <c r="Y64" s="6" t="n"/>
      <c r="Z64" s="6" t="n"/>
    </row>
    <row r="65">
      <c r="A65" s="6" t="n"/>
      <c r="B65" s="6" t="n"/>
      <c r="C65" s="6" t="n"/>
      <c r="D65" s="6" t="n"/>
      <c r="E65" s="6" t="n"/>
      <c r="F65" s="6" t="n"/>
      <c r="G65" s="6" t="n"/>
      <c r="H65" s="6" t="n"/>
      <c r="I65" s="6" t="n"/>
      <c r="J65" s="6" t="n"/>
      <c r="K65" s="6" t="n"/>
      <c r="L65" s="6" t="n"/>
      <c r="M65" s="6" t="n"/>
      <c r="N65" s="6" t="n"/>
      <c r="O65" s="6" t="n"/>
      <c r="P65" s="6" t="n"/>
      <c r="Q65" s="6" t="n"/>
      <c r="R65" s="6" t="n"/>
      <c r="S65" s="6" t="n"/>
      <c r="T65" s="6" t="n"/>
      <c r="U65" s="6" t="n"/>
      <c r="V65" s="6" t="n"/>
      <c r="W65" s="6" t="n"/>
      <c r="X65" s="6" t="n"/>
      <c r="Y65" s="6" t="n"/>
      <c r="Z65" s="6" t="n"/>
    </row>
    <row r="66">
      <c r="A66" s="6" t="n"/>
      <c r="B66" s="6" t="n"/>
      <c r="C66" s="6" t="n"/>
      <c r="D66" s="6" t="n"/>
      <c r="E66" s="6" t="n"/>
      <c r="F66" s="6" t="n"/>
      <c r="G66" s="6" t="n"/>
      <c r="H66" s="6" t="n"/>
      <c r="I66" s="6" t="n"/>
      <c r="J66" s="6" t="n"/>
      <c r="K66" s="6" t="n"/>
      <c r="L66" s="6" t="n"/>
      <c r="M66" s="6" t="n"/>
      <c r="N66" s="6" t="n"/>
      <c r="O66" s="6" t="n"/>
      <c r="P66" s="6" t="n"/>
      <c r="Q66" s="6" t="n"/>
      <c r="R66" s="6" t="n"/>
      <c r="S66" s="6" t="n"/>
      <c r="T66" s="6" t="n"/>
      <c r="U66" s="6" t="n"/>
      <c r="V66" s="6" t="n"/>
      <c r="W66" s="6" t="n"/>
      <c r="X66" s="6" t="n"/>
      <c r="Y66" s="6" t="n"/>
      <c r="Z66" s="6" t="n"/>
    </row>
    <row r="67">
      <c r="A67" s="6" t="n"/>
      <c r="B67" s="6" t="n"/>
      <c r="C67" s="6" t="n"/>
      <c r="D67" s="6" t="n"/>
      <c r="E67" s="6" t="n"/>
      <c r="F67" s="6" t="n"/>
      <c r="G67" s="6" t="n"/>
      <c r="H67" s="6" t="n"/>
      <c r="I67" s="6" t="n"/>
      <c r="J67" s="6" t="n"/>
      <c r="K67" s="6" t="n"/>
      <c r="L67" s="6" t="n"/>
      <c r="M67" s="6" t="n"/>
      <c r="N67" s="6" t="n"/>
      <c r="O67" s="6" t="n"/>
      <c r="P67" s="6" t="n"/>
      <c r="Q67" s="6" t="n"/>
      <c r="R67" s="6" t="n"/>
      <c r="S67" s="6" t="n"/>
      <c r="T67" s="6" t="n"/>
      <c r="U67" s="6" t="n"/>
      <c r="V67" s="6" t="n"/>
      <c r="W67" s="6" t="n"/>
      <c r="X67" s="6" t="n"/>
      <c r="Y67" s="6" t="n"/>
      <c r="Z67" s="6" t="n"/>
    </row>
    <row r="68">
      <c r="A68" s="6" t="n"/>
      <c r="B68" s="6" t="n"/>
      <c r="C68" s="6" t="n"/>
      <c r="D68" s="6" t="n"/>
      <c r="E68" s="6" t="n"/>
      <c r="F68" s="6" t="n"/>
      <c r="G68" s="6" t="n"/>
      <c r="H68" s="6" t="n"/>
      <c r="I68" s="6" t="n"/>
      <c r="J68" s="6" t="n"/>
      <c r="K68" s="6" t="n"/>
      <c r="L68" s="6" t="n"/>
      <c r="M68" s="6" t="n"/>
      <c r="N68" s="6" t="n"/>
      <c r="O68" s="6" t="n"/>
      <c r="P68" s="6" t="n"/>
      <c r="Q68" s="6" t="n"/>
      <c r="R68" s="6" t="n"/>
      <c r="S68" s="6" t="n"/>
      <c r="T68" s="6" t="n"/>
      <c r="U68" s="6" t="n"/>
      <c r="V68" s="6" t="n"/>
      <c r="W68" s="6" t="n"/>
      <c r="X68" s="6" t="n"/>
      <c r="Y68" s="6" t="n"/>
      <c r="Z68" s="6" t="n"/>
    </row>
    <row r="69">
      <c r="A69" s="6" t="n"/>
      <c r="B69" s="6" t="n"/>
      <c r="C69" s="6" t="n"/>
      <c r="D69" s="6" t="n"/>
      <c r="E69" s="6" t="n"/>
      <c r="F69" s="6" t="n"/>
      <c r="G69" s="6" t="n"/>
      <c r="H69" s="6" t="n"/>
      <c r="I69" s="6" t="n"/>
      <c r="J69" s="6" t="n"/>
      <c r="K69" s="6" t="n"/>
      <c r="L69" s="6" t="n"/>
      <c r="M69" s="6" t="n"/>
      <c r="N69" s="6" t="n"/>
      <c r="O69" s="6" t="n"/>
      <c r="P69" s="6" t="n"/>
      <c r="Q69" s="6" t="n"/>
      <c r="R69" s="6" t="n"/>
      <c r="S69" s="6" t="n"/>
      <c r="T69" s="6" t="n"/>
      <c r="U69" s="6" t="n"/>
      <c r="V69" s="6" t="n"/>
      <c r="W69" s="6" t="n"/>
      <c r="X69" s="6" t="n"/>
      <c r="Y69" s="6" t="n"/>
      <c r="Z69" s="6" t="n"/>
    </row>
    <row r="70">
      <c r="A70" s="6" t="n"/>
      <c r="B70" s="6" t="n"/>
      <c r="C70" s="6" t="n"/>
      <c r="D70" s="6" t="n"/>
      <c r="E70" s="6" t="n"/>
      <c r="F70" s="6" t="n"/>
      <c r="G70" s="6" t="n"/>
      <c r="H70" s="6" t="n"/>
      <c r="I70" s="6" t="n"/>
      <c r="J70" s="6" t="n"/>
      <c r="K70" s="6" t="n"/>
      <c r="L70" s="6" t="n"/>
      <c r="M70" s="6" t="n"/>
      <c r="N70" s="6" t="n"/>
      <c r="O70" s="6" t="n"/>
      <c r="P70" s="6" t="n"/>
      <c r="Q70" s="6" t="n"/>
      <c r="R70" s="6" t="n"/>
      <c r="S70" s="6" t="n"/>
      <c r="T70" s="6" t="n"/>
      <c r="U70" s="6" t="n"/>
      <c r="V70" s="6" t="n"/>
      <c r="W70" s="6" t="n"/>
      <c r="X70" s="6" t="n"/>
      <c r="Y70" s="6" t="n"/>
      <c r="Z70" s="6" t="n"/>
    </row>
    <row r="71">
      <c r="A71" s="6" t="n"/>
      <c r="B71" s="6" t="n"/>
      <c r="C71" s="6" t="n"/>
      <c r="D71" s="6" t="n"/>
      <c r="E71" s="6" t="n"/>
      <c r="F71" s="6" t="n"/>
      <c r="G71" s="6" t="n"/>
      <c r="H71" s="6" t="n"/>
      <c r="I71" s="6" t="n"/>
      <c r="J71" s="6" t="n"/>
      <c r="K71" s="6" t="n"/>
      <c r="L71" s="6" t="n"/>
      <c r="M71" s="6" t="n"/>
      <c r="N71" s="6" t="n"/>
      <c r="O71" s="6" t="n"/>
      <c r="P71" s="6" t="n"/>
      <c r="Q71" s="6" t="n"/>
      <c r="R71" s="6" t="n"/>
      <c r="S71" s="6" t="n"/>
      <c r="T71" s="6" t="n"/>
      <c r="U71" s="6" t="n"/>
      <c r="V71" s="6" t="n"/>
      <c r="W71" s="6" t="n"/>
      <c r="X71" s="6" t="n"/>
      <c r="Y71" s="6" t="n"/>
      <c r="Z71" s="6" t="n"/>
    </row>
    <row r="72">
      <c r="A72" s="6" t="n"/>
      <c r="B72" s="6" t="n"/>
      <c r="C72" s="6" t="n"/>
      <c r="D72" s="6" t="n"/>
      <c r="E72" s="6" t="n"/>
      <c r="F72" s="6" t="n"/>
      <c r="G72" s="6" t="n"/>
      <c r="H72" s="6" t="n"/>
      <c r="I72" s="6" t="n"/>
      <c r="J72" s="6" t="n"/>
      <c r="K72" s="6" t="n"/>
      <c r="L72" s="6" t="n"/>
      <c r="M72" s="6" t="n"/>
      <c r="N72" s="6" t="n"/>
      <c r="O72" s="6" t="n"/>
      <c r="P72" s="6" t="n"/>
      <c r="Q72" s="6" t="n"/>
      <c r="R72" s="6" t="n"/>
      <c r="S72" s="6" t="n"/>
      <c r="T72" s="6" t="n"/>
      <c r="U72" s="6" t="n"/>
      <c r="V72" s="6" t="n"/>
      <c r="W72" s="6" t="n"/>
      <c r="X72" s="6" t="n"/>
      <c r="Y72" s="6" t="n"/>
      <c r="Z72" s="6" t="n"/>
    </row>
    <row r="73">
      <c r="A73" s="6" t="n"/>
      <c r="B73" s="6" t="n"/>
      <c r="C73" s="6" t="n"/>
      <c r="D73" s="6" t="n"/>
      <c r="E73" s="6" t="n"/>
      <c r="F73" s="6" t="n"/>
      <c r="G73" s="6" t="n"/>
      <c r="H73" s="6" t="n"/>
      <c r="I73" s="6" t="n"/>
      <c r="J73" s="6" t="n"/>
      <c r="K73" s="6" t="n"/>
      <c r="L73" s="6" t="n"/>
      <c r="M73" s="6" t="n"/>
      <c r="N73" s="6" t="n"/>
      <c r="O73" s="6" t="n"/>
      <c r="P73" s="6" t="n"/>
      <c r="Q73" s="6" t="n"/>
      <c r="R73" s="6" t="n"/>
      <c r="S73" s="6" t="n"/>
      <c r="T73" s="6" t="n"/>
      <c r="U73" s="6" t="n"/>
      <c r="V73" s="6" t="n"/>
      <c r="W73" s="6" t="n"/>
      <c r="X73" s="6" t="n"/>
      <c r="Y73" s="6" t="n"/>
      <c r="Z73" s="6" t="n"/>
    </row>
    <row r="74">
      <c r="A74" s="6" t="n"/>
      <c r="B74" s="6" t="n"/>
      <c r="C74" s="6" t="n"/>
      <c r="D74" s="6" t="n"/>
      <c r="E74" s="6" t="n"/>
      <c r="F74" s="6" t="n"/>
      <c r="G74" s="6" t="n"/>
      <c r="H74" s="6" t="n"/>
      <c r="I74" s="6" t="n"/>
      <c r="J74" s="6" t="n"/>
      <c r="K74" s="6" t="n"/>
      <c r="L74" s="6" t="n"/>
      <c r="M74" s="6" t="n"/>
      <c r="N74" s="6" t="n"/>
      <c r="O74" s="6" t="n"/>
      <c r="P74" s="6" t="n"/>
      <c r="Q74" s="6" t="n"/>
      <c r="R74" s="6" t="n"/>
      <c r="S74" s="6" t="n"/>
      <c r="T74" s="6" t="n"/>
      <c r="U74" s="6" t="n"/>
      <c r="V74" s="6" t="n"/>
      <c r="W74" s="6" t="n"/>
      <c r="X74" s="6" t="n"/>
      <c r="Y74" s="6" t="n"/>
      <c r="Z74" s="6" t="n"/>
    </row>
    <row r="75">
      <c r="A75" s="6" t="n"/>
      <c r="B75" s="6" t="n"/>
      <c r="C75" s="6" t="n"/>
      <c r="D75" s="6" t="n"/>
      <c r="E75" s="6" t="n"/>
      <c r="F75" s="6" t="n"/>
      <c r="G75" s="6" t="n"/>
      <c r="H75" s="6" t="n"/>
      <c r="I75" s="6" t="n"/>
      <c r="J75" s="6" t="n"/>
      <c r="K75" s="6" t="n"/>
      <c r="L75" s="6" t="n"/>
      <c r="M75" s="6" t="n"/>
      <c r="N75" s="6" t="n"/>
      <c r="O75" s="6" t="n"/>
      <c r="P75" s="6" t="n"/>
      <c r="Q75" s="6" t="n"/>
      <c r="R75" s="6" t="n"/>
      <c r="S75" s="6" t="n"/>
      <c r="T75" s="6" t="n"/>
      <c r="U75" s="6" t="n"/>
      <c r="V75" s="6" t="n"/>
      <c r="W75" s="6" t="n"/>
      <c r="X75" s="6" t="n"/>
      <c r="Y75" s="6" t="n"/>
      <c r="Z75" s="6" t="n"/>
    </row>
    <row r="76">
      <c r="A76" s="6" t="n"/>
      <c r="B76" s="6" t="n"/>
      <c r="C76" s="6" t="n"/>
      <c r="D76" s="6" t="n"/>
      <c r="E76" s="6" t="n"/>
      <c r="F76" s="6" t="n"/>
      <c r="G76" s="6" t="n"/>
      <c r="H76" s="6" t="n"/>
      <c r="I76" s="6" t="n"/>
      <c r="J76" s="6" t="n"/>
      <c r="K76" s="6" t="n"/>
      <c r="L76" s="6" t="n"/>
      <c r="M76" s="6" t="n"/>
      <c r="N76" s="6" t="n"/>
      <c r="O76" s="6" t="n"/>
      <c r="P76" s="6" t="n"/>
      <c r="Q76" s="6" t="n"/>
      <c r="R76" s="6" t="n"/>
      <c r="S76" s="6" t="n"/>
      <c r="T76" s="6" t="n"/>
      <c r="U76" s="6" t="n"/>
      <c r="V76" s="6" t="n"/>
      <c r="W76" s="6" t="n"/>
      <c r="X76" s="6" t="n"/>
      <c r="Y76" s="6" t="n"/>
      <c r="Z76" s="6" t="n"/>
    </row>
    <row r="77">
      <c r="A77" s="6" t="n"/>
      <c r="B77" s="6" t="n"/>
      <c r="C77" s="6" t="n"/>
      <c r="D77" s="6" t="n"/>
      <c r="E77" s="6" t="n"/>
      <c r="F77" s="6" t="n"/>
      <c r="G77" s="6" t="n"/>
      <c r="H77" s="6" t="n"/>
      <c r="I77" s="6" t="n"/>
      <c r="J77" s="6" t="n"/>
      <c r="K77" s="6" t="n"/>
      <c r="L77" s="6" t="n"/>
      <c r="M77" s="6" t="n"/>
      <c r="N77" s="6" t="n"/>
      <c r="O77" s="6" t="n"/>
      <c r="P77" s="6" t="n"/>
      <c r="Q77" s="6" t="n"/>
      <c r="R77" s="6" t="n"/>
      <c r="S77" s="6" t="n"/>
      <c r="T77" s="6" t="n"/>
      <c r="U77" s="6" t="n"/>
      <c r="V77" s="6" t="n"/>
      <c r="W77" s="6" t="n"/>
      <c r="X77" s="6" t="n"/>
      <c r="Y77" s="6" t="n"/>
      <c r="Z77" s="6" t="n"/>
    </row>
    <row r="78">
      <c r="A78" s="6" t="n"/>
      <c r="B78" s="6" t="n"/>
      <c r="C78" s="6" t="n"/>
      <c r="D78" s="6" t="n"/>
      <c r="E78" s="6" t="n"/>
      <c r="F78" s="6" t="n"/>
      <c r="G78" s="6" t="n"/>
      <c r="H78" s="6" t="n"/>
      <c r="I78" s="6" t="n"/>
      <c r="J78" s="6" t="n"/>
      <c r="K78" s="6" t="n"/>
      <c r="L78" s="6" t="n"/>
      <c r="M78" s="6" t="n"/>
      <c r="N78" s="6" t="n"/>
      <c r="O78" s="6" t="n"/>
      <c r="P78" s="6" t="n"/>
      <c r="Q78" s="6" t="n"/>
      <c r="R78" s="6" t="n"/>
      <c r="S78" s="6" t="n"/>
      <c r="T78" s="6" t="n"/>
      <c r="U78" s="6" t="n"/>
      <c r="V78" s="6" t="n"/>
      <c r="W78" s="6" t="n"/>
      <c r="X78" s="6" t="n"/>
      <c r="Y78" s="6" t="n"/>
      <c r="Z78" s="6" t="n"/>
    </row>
    <row r="79">
      <c r="A79" s="6" t="n"/>
      <c r="B79" s="6" t="n"/>
      <c r="C79" s="6" t="n"/>
      <c r="D79" s="6" t="n"/>
      <c r="E79" s="6" t="n"/>
      <c r="F79" s="6" t="n"/>
      <c r="G79" s="6" t="n"/>
      <c r="H79" s="6" t="n"/>
      <c r="I79" s="6" t="n"/>
      <c r="J79" s="6" t="n"/>
      <c r="K79" s="6" t="n"/>
      <c r="L79" s="6" t="n"/>
      <c r="M79" s="6" t="n"/>
      <c r="N79" s="6" t="n"/>
      <c r="O79" s="6" t="n"/>
      <c r="P79" s="6" t="n"/>
      <c r="Q79" s="6" t="n"/>
      <c r="R79" s="6" t="n"/>
      <c r="S79" s="6" t="n"/>
      <c r="T79" s="6" t="n"/>
      <c r="U79" s="6" t="n"/>
      <c r="V79" s="6" t="n"/>
      <c r="W79" s="6" t="n"/>
      <c r="X79" s="6" t="n"/>
      <c r="Y79" s="6" t="n"/>
      <c r="Z79" s="6" t="n"/>
    </row>
    <row r="80">
      <c r="A80" s="6" t="n"/>
      <c r="B80" s="6" t="n"/>
      <c r="C80" s="6" t="n"/>
      <c r="D80" s="6" t="n"/>
      <c r="E80" s="6" t="n"/>
      <c r="F80" s="6" t="n"/>
      <c r="G80" s="6" t="n"/>
      <c r="H80" s="6" t="n"/>
      <c r="I80" s="6" t="n"/>
      <c r="J80" s="6" t="n"/>
      <c r="K80" s="6" t="n"/>
      <c r="L80" s="6" t="n"/>
      <c r="M80" s="6" t="n"/>
      <c r="N80" s="6" t="n"/>
      <c r="O80" s="6" t="n"/>
      <c r="P80" s="6" t="n"/>
      <c r="Q80" s="6" t="n"/>
      <c r="R80" s="6" t="n"/>
      <c r="S80" s="6" t="n"/>
      <c r="T80" s="6" t="n"/>
      <c r="U80" s="6" t="n"/>
      <c r="V80" s="6" t="n"/>
      <c r="W80" s="6" t="n"/>
      <c r="X80" s="6" t="n"/>
      <c r="Y80" s="6" t="n"/>
      <c r="Z80" s="6" t="n"/>
    </row>
    <row r="81">
      <c r="A81" s="6" t="n"/>
      <c r="B81" s="6" t="n"/>
      <c r="C81" s="6" t="n"/>
      <c r="D81" s="6" t="n"/>
      <c r="E81" s="6" t="n"/>
      <c r="F81" s="6" t="n"/>
      <c r="G81" s="6" t="n"/>
      <c r="H81" s="6" t="n"/>
      <c r="I81" s="6" t="n"/>
      <c r="J81" s="6" t="n"/>
      <c r="K81" s="6" t="n"/>
      <c r="L81" s="6" t="n"/>
      <c r="M81" s="6" t="n"/>
      <c r="N81" s="6" t="n"/>
      <c r="O81" s="6" t="n"/>
      <c r="P81" s="6" t="n"/>
      <c r="Q81" s="6" t="n"/>
      <c r="R81" s="6" t="n"/>
      <c r="S81" s="6" t="n"/>
      <c r="T81" s="6" t="n"/>
      <c r="U81" s="6" t="n"/>
      <c r="V81" s="6" t="n"/>
      <c r="W81" s="6" t="n"/>
      <c r="X81" s="6" t="n"/>
      <c r="Y81" s="6" t="n"/>
      <c r="Z81" s="6" t="n"/>
    </row>
    <row r="82">
      <c r="A82" s="6" t="n"/>
      <c r="B82" s="6" t="n"/>
      <c r="C82" s="6" t="n"/>
      <c r="D82" s="6" t="n"/>
      <c r="E82" s="6" t="n"/>
      <c r="F82" s="6" t="n"/>
      <c r="G82" s="6" t="n"/>
      <c r="H82" s="6" t="n"/>
      <c r="I82" s="6" t="n"/>
      <c r="J82" s="6" t="n"/>
      <c r="K82" s="6" t="n"/>
      <c r="L82" s="6" t="n"/>
      <c r="M82" s="6" t="n"/>
      <c r="N82" s="6" t="n"/>
      <c r="O82" s="6" t="n"/>
      <c r="P82" s="6" t="n"/>
      <c r="Q82" s="6" t="n"/>
      <c r="R82" s="6" t="n"/>
      <c r="S82" s="6" t="n"/>
      <c r="T82" s="6" t="n"/>
      <c r="U82" s="6" t="n"/>
      <c r="V82" s="6" t="n"/>
      <c r="W82" s="6" t="n"/>
      <c r="X82" s="6" t="n"/>
      <c r="Y82" s="6" t="n"/>
      <c r="Z82" s="6" t="n"/>
    </row>
    <row r="83">
      <c r="A83" s="6" t="n"/>
      <c r="B83" s="6" t="n"/>
      <c r="C83" s="6" t="n"/>
      <c r="D83" s="6" t="n"/>
      <c r="E83" s="6" t="n"/>
      <c r="F83" s="6" t="n"/>
      <c r="G83" s="6" t="n"/>
      <c r="H83" s="6" t="n"/>
      <c r="I83" s="6" t="n"/>
      <c r="J83" s="6" t="n"/>
      <c r="K83" s="6" t="n"/>
      <c r="L83" s="6" t="n"/>
      <c r="M83" s="6" t="n"/>
      <c r="N83" s="6" t="n"/>
      <c r="O83" s="6" t="n"/>
      <c r="P83" s="6" t="n"/>
      <c r="Q83" s="6" t="n"/>
      <c r="R83" s="6" t="n"/>
      <c r="S83" s="6" t="n"/>
      <c r="T83" s="6" t="n"/>
      <c r="U83" s="6" t="n"/>
      <c r="V83" s="6" t="n"/>
      <c r="W83" s="6" t="n"/>
      <c r="X83" s="6" t="n"/>
      <c r="Y83" s="6" t="n"/>
      <c r="Z83" s="6" t="n"/>
    </row>
    <row r="84">
      <c r="A84" s="6" t="n"/>
      <c r="B84" s="6" t="n"/>
      <c r="C84" s="6" t="n"/>
      <c r="D84" s="6" t="n"/>
      <c r="E84" s="6" t="n"/>
      <c r="F84" s="6" t="n"/>
      <c r="G84" s="6" t="n"/>
      <c r="H84" s="6" t="n"/>
      <c r="I84" s="6" t="n"/>
      <c r="J84" s="6" t="n"/>
      <c r="K84" s="6" t="n"/>
      <c r="L84" s="6" t="n"/>
      <c r="M84" s="6" t="n"/>
      <c r="N84" s="6" t="n"/>
      <c r="O84" s="6" t="n"/>
      <c r="P84" s="6" t="n"/>
      <c r="Q84" s="6" t="n"/>
      <c r="R84" s="6" t="n"/>
      <c r="S84" s="6" t="n"/>
      <c r="T84" s="6" t="n"/>
      <c r="U84" s="6" t="n"/>
      <c r="V84" s="6" t="n"/>
      <c r="W84" s="6" t="n"/>
      <c r="X84" s="6" t="n"/>
      <c r="Y84" s="6" t="n"/>
      <c r="Z84" s="6" t="n"/>
    </row>
    <row r="85">
      <c r="A85" s="6" t="n"/>
      <c r="B85" s="6" t="n"/>
      <c r="C85" s="6" t="n"/>
      <c r="D85" s="6" t="n"/>
      <c r="E85" s="6" t="n"/>
      <c r="F85" s="6" t="n"/>
      <c r="G85" s="6" t="n"/>
      <c r="H85" s="6" t="n"/>
      <c r="I85" s="6" t="n"/>
      <c r="J85" s="6" t="n"/>
      <c r="K85" s="6" t="n"/>
      <c r="L85" s="6" t="n"/>
      <c r="M85" s="6" t="n"/>
      <c r="N85" s="6" t="n"/>
      <c r="O85" s="6" t="n"/>
      <c r="P85" s="6" t="n"/>
      <c r="Q85" s="6" t="n"/>
      <c r="R85" s="6" t="n"/>
      <c r="S85" s="6" t="n"/>
      <c r="T85" s="6" t="n"/>
      <c r="U85" s="6" t="n"/>
      <c r="V85" s="6" t="n"/>
      <c r="W85" s="6" t="n"/>
      <c r="X85" s="6" t="n"/>
      <c r="Y85" s="6" t="n"/>
      <c r="Z85" s="6" t="n"/>
    </row>
    <row r="86">
      <c r="A86" s="6" t="n"/>
      <c r="B86" s="6" t="n"/>
      <c r="C86" s="6" t="n"/>
      <c r="D86" s="6" t="n"/>
      <c r="E86" s="6" t="n"/>
      <c r="F86" s="6" t="n"/>
      <c r="G86" s="6" t="n"/>
      <c r="H86" s="6" t="n"/>
      <c r="I86" s="6" t="n"/>
      <c r="J86" s="6" t="n"/>
      <c r="K86" s="6" t="n"/>
      <c r="L86" s="6" t="n"/>
      <c r="M86" s="6" t="n"/>
      <c r="N86" s="6" t="n"/>
      <c r="O86" s="6" t="n"/>
      <c r="P86" s="6" t="n"/>
      <c r="Q86" s="6" t="n"/>
      <c r="R86" s="6" t="n"/>
      <c r="S86" s="6" t="n"/>
      <c r="T86" s="6" t="n"/>
      <c r="U86" s="6" t="n"/>
      <c r="V86" s="6" t="n"/>
      <c r="W86" s="6" t="n"/>
      <c r="X86" s="6" t="n"/>
      <c r="Y86" s="6" t="n"/>
      <c r="Z86" s="6" t="n"/>
    </row>
    <row r="87">
      <c r="A87" s="6" t="n"/>
      <c r="B87" s="6" t="n"/>
      <c r="C87" s="6" t="n"/>
      <c r="D87" s="6" t="n"/>
      <c r="E87" s="6" t="n"/>
      <c r="F87" s="6" t="n"/>
      <c r="G87" s="6" t="n"/>
      <c r="H87" s="6" t="n"/>
      <c r="I87" s="6" t="n"/>
      <c r="J87" s="6" t="n"/>
      <c r="K87" s="6" t="n"/>
      <c r="L87" s="6" t="n"/>
      <c r="M87" s="6" t="n"/>
      <c r="N87" s="6" t="n"/>
      <c r="O87" s="6" t="n"/>
      <c r="P87" s="6" t="n"/>
      <c r="Q87" s="6" t="n"/>
      <c r="R87" s="6" t="n"/>
      <c r="S87" s="6" t="n"/>
      <c r="T87" s="6" t="n"/>
      <c r="U87" s="6" t="n"/>
      <c r="V87" s="6" t="n"/>
      <c r="W87" s="6" t="n"/>
      <c r="X87" s="6" t="n"/>
      <c r="Y87" s="6" t="n"/>
      <c r="Z87" s="6" t="n"/>
    </row>
    <row r="88">
      <c r="A88" s="6" t="n"/>
      <c r="B88" s="6" t="n"/>
      <c r="C88" s="6" t="n"/>
      <c r="D88" s="6" t="n"/>
      <c r="E88" s="6" t="n"/>
      <c r="F88" s="6" t="n"/>
      <c r="G88" s="6" t="n"/>
      <c r="H88" s="6" t="n"/>
      <c r="I88" s="6" t="n"/>
      <c r="J88" s="6" t="n"/>
      <c r="K88" s="6" t="n"/>
      <c r="L88" s="6" t="n"/>
      <c r="M88" s="6" t="n"/>
      <c r="N88" s="6" t="n"/>
      <c r="O88" s="6" t="n"/>
      <c r="P88" s="6" t="n"/>
      <c r="Q88" s="6" t="n"/>
      <c r="R88" s="6" t="n"/>
      <c r="S88" s="6" t="n"/>
      <c r="T88" s="6" t="n"/>
      <c r="U88" s="6" t="n"/>
      <c r="V88" s="6" t="n"/>
      <c r="W88" s="6" t="n"/>
      <c r="X88" s="6" t="n"/>
      <c r="Y88" s="6" t="n"/>
      <c r="Z88" s="6" t="n"/>
    </row>
    <row r="89">
      <c r="A89" s="6" t="n"/>
      <c r="B89" s="6" t="n"/>
      <c r="C89" s="6" t="n"/>
      <c r="D89" s="6" t="n"/>
      <c r="E89" s="6" t="n"/>
      <c r="F89" s="6" t="n"/>
      <c r="G89" s="6" t="n"/>
      <c r="H89" s="6" t="n"/>
      <c r="I89" s="6" t="n"/>
      <c r="J89" s="6" t="n"/>
      <c r="K89" s="6" t="n"/>
      <c r="L89" s="6" t="n"/>
      <c r="M89" s="6" t="n"/>
      <c r="N89" s="6" t="n"/>
      <c r="O89" s="6" t="n"/>
      <c r="P89" s="6" t="n"/>
      <c r="Q89" s="6" t="n"/>
      <c r="R89" s="6" t="n"/>
      <c r="S89" s="6" t="n"/>
      <c r="T89" s="6" t="n"/>
      <c r="U89" s="6" t="n"/>
      <c r="V89" s="6" t="n"/>
      <c r="W89" s="6" t="n"/>
      <c r="X89" s="6" t="n"/>
      <c r="Y89" s="6" t="n"/>
      <c r="Z89" s="6" t="n"/>
    </row>
    <row r="90">
      <c r="A90" s="6" t="n"/>
      <c r="B90" s="6" t="n"/>
      <c r="C90" s="6" t="n"/>
      <c r="D90" s="6" t="n"/>
      <c r="E90" s="6" t="n"/>
      <c r="F90" s="6" t="n"/>
      <c r="G90" s="6" t="n"/>
      <c r="H90" s="6" t="n"/>
      <c r="I90" s="6" t="n"/>
      <c r="J90" s="6" t="n"/>
      <c r="K90" s="6" t="n"/>
      <c r="L90" s="6" t="n"/>
      <c r="M90" s="6" t="n"/>
      <c r="N90" s="6" t="n"/>
      <c r="O90" s="6" t="n"/>
      <c r="P90" s="6" t="n"/>
      <c r="Q90" s="6" t="n"/>
      <c r="R90" s="6" t="n"/>
      <c r="S90" s="6" t="n"/>
      <c r="T90" s="6" t="n"/>
      <c r="U90" s="6" t="n"/>
      <c r="V90" s="6" t="n"/>
      <c r="W90" s="6" t="n"/>
      <c r="X90" s="6" t="n"/>
      <c r="Y90" s="6" t="n"/>
      <c r="Z90" s="6" t="n"/>
    </row>
    <row r="91">
      <c r="A91" s="6" t="n"/>
      <c r="B91" s="6" t="n"/>
      <c r="C91" s="6" t="n"/>
      <c r="D91" s="6" t="n"/>
      <c r="E91" s="6" t="n"/>
      <c r="F91" s="6" t="n"/>
      <c r="G91" s="6" t="n"/>
      <c r="H91" s="6" t="n"/>
      <c r="I91" s="6" t="n"/>
      <c r="J91" s="6" t="n"/>
      <c r="K91" s="6" t="n"/>
      <c r="L91" s="6" t="n"/>
      <c r="M91" s="6" t="n"/>
      <c r="N91" s="6" t="n"/>
      <c r="O91" s="6" t="n"/>
      <c r="P91" s="6" t="n"/>
      <c r="Q91" s="6" t="n"/>
      <c r="R91" s="6" t="n"/>
      <c r="S91" s="6" t="n"/>
      <c r="T91" s="6" t="n"/>
      <c r="U91" s="6" t="n"/>
      <c r="V91" s="6" t="n"/>
      <c r="W91" s="6" t="n"/>
      <c r="X91" s="6" t="n"/>
      <c r="Y91" s="6" t="n"/>
      <c r="Z91" s="6" t="n"/>
    </row>
    <row r="92">
      <c r="A92" s="6" t="n"/>
      <c r="B92" s="6" t="n"/>
      <c r="C92" s="6" t="n"/>
      <c r="D92" s="6" t="n"/>
      <c r="E92" s="6" t="n"/>
      <c r="F92" s="6" t="n"/>
      <c r="G92" s="6" t="n"/>
      <c r="H92" s="6" t="n"/>
      <c r="I92" s="6" t="n"/>
      <c r="J92" s="6" t="n"/>
      <c r="K92" s="6" t="n"/>
      <c r="L92" s="6" t="n"/>
      <c r="M92" s="6" t="n"/>
      <c r="N92" s="6" t="n"/>
      <c r="O92" s="6" t="n"/>
      <c r="P92" s="6" t="n"/>
      <c r="Q92" s="6" t="n"/>
      <c r="R92" s="6" t="n"/>
      <c r="S92" s="6" t="n"/>
      <c r="T92" s="6" t="n"/>
      <c r="U92" s="6" t="n"/>
      <c r="V92" s="6" t="n"/>
      <c r="W92" s="6" t="n"/>
      <c r="X92" s="6" t="n"/>
      <c r="Y92" s="6" t="n"/>
      <c r="Z92" s="6" t="n"/>
    </row>
    <row r="93">
      <c r="A93" s="6" t="n"/>
      <c r="B93" s="6" t="n"/>
      <c r="C93" s="6" t="n"/>
      <c r="D93" s="6" t="n"/>
      <c r="E93" s="6" t="n"/>
      <c r="F93" s="6" t="n"/>
      <c r="G93" s="6" t="n"/>
      <c r="H93" s="6" t="n"/>
      <c r="I93" s="6" t="n"/>
      <c r="J93" s="6" t="n"/>
      <c r="K93" s="6" t="n"/>
      <c r="L93" s="6" t="n"/>
      <c r="M93" s="6" t="n"/>
      <c r="N93" s="6" t="n"/>
      <c r="O93" s="6" t="n"/>
      <c r="P93" s="6" t="n"/>
      <c r="Q93" s="6" t="n"/>
      <c r="R93" s="6" t="n"/>
      <c r="S93" s="6" t="n"/>
      <c r="T93" s="6" t="n"/>
      <c r="U93" s="6" t="n"/>
      <c r="V93" s="6" t="n"/>
      <c r="W93" s="6" t="n"/>
      <c r="X93" s="6" t="n"/>
      <c r="Y93" s="6" t="n"/>
      <c r="Z93" s="6" t="n"/>
    </row>
    <row r="94">
      <c r="A94" s="6" t="n"/>
      <c r="B94" s="6" t="n"/>
      <c r="C94" s="6" t="n"/>
      <c r="D94" s="6" t="n"/>
      <c r="E94" s="6" t="n"/>
      <c r="F94" s="6" t="n"/>
      <c r="G94" s="6" t="n"/>
      <c r="H94" s="6" t="n"/>
      <c r="I94" s="6" t="n"/>
      <c r="J94" s="6" t="n"/>
      <c r="K94" s="6" t="n"/>
      <c r="L94" s="6" t="n"/>
      <c r="M94" s="6" t="n"/>
      <c r="N94" s="6" t="n"/>
      <c r="O94" s="6" t="n"/>
      <c r="P94" s="6" t="n"/>
      <c r="Q94" s="6" t="n"/>
      <c r="R94" s="6" t="n"/>
      <c r="S94" s="6" t="n"/>
      <c r="T94" s="6" t="n"/>
      <c r="U94" s="6" t="n"/>
      <c r="V94" s="6" t="n"/>
      <c r="W94" s="6" t="n"/>
      <c r="X94" s="6" t="n"/>
      <c r="Y94" s="6" t="n"/>
      <c r="Z94" s="6" t="n"/>
    </row>
    <row r="95">
      <c r="A95" s="6" t="n"/>
      <c r="B95" s="6" t="n"/>
      <c r="C95" s="6" t="n"/>
      <c r="D95" s="6" t="n"/>
      <c r="E95" s="6" t="n"/>
      <c r="F95" s="6" t="n"/>
      <c r="G95" s="6" t="n"/>
      <c r="H95" s="6" t="n"/>
      <c r="I95" s="6" t="n"/>
      <c r="J95" s="6" t="n"/>
      <c r="K95" s="6" t="n"/>
      <c r="L95" s="6" t="n"/>
      <c r="M95" s="6" t="n"/>
      <c r="N95" s="6" t="n"/>
      <c r="O95" s="6" t="n"/>
      <c r="P95" s="6" t="n"/>
      <c r="Q95" s="6" t="n"/>
      <c r="R95" s="6" t="n"/>
      <c r="S95" s="6" t="n"/>
      <c r="T95" s="6" t="n"/>
      <c r="U95" s="6" t="n"/>
      <c r="V95" s="6" t="n"/>
      <c r="W95" s="6" t="n"/>
      <c r="X95" s="6" t="n"/>
      <c r="Y95" s="6" t="n"/>
      <c r="Z95" s="6" t="n"/>
    </row>
    <row r="96">
      <c r="A96" s="6" t="n"/>
      <c r="B96" s="6" t="n"/>
      <c r="C96" s="6" t="n"/>
      <c r="D96" s="6" t="n"/>
      <c r="E96" s="6" t="n"/>
      <c r="F96" s="6" t="n"/>
      <c r="G96" s="6" t="n"/>
      <c r="H96" s="6" t="n"/>
      <c r="I96" s="6" t="n"/>
      <c r="J96" s="6" t="n"/>
      <c r="K96" s="6" t="n"/>
      <c r="L96" s="6" t="n"/>
      <c r="M96" s="6" t="n"/>
      <c r="N96" s="6" t="n"/>
      <c r="O96" s="6" t="n"/>
      <c r="P96" s="6" t="n"/>
      <c r="Q96" s="6" t="n"/>
      <c r="R96" s="6" t="n"/>
      <c r="S96" s="6" t="n"/>
      <c r="T96" s="6" t="n"/>
      <c r="U96" s="6" t="n"/>
      <c r="V96" s="6" t="n"/>
      <c r="W96" s="6" t="n"/>
      <c r="X96" s="6" t="n"/>
      <c r="Y96" s="6" t="n"/>
      <c r="Z96" s="6" t="n"/>
    </row>
    <row r="97">
      <c r="A97" s="6" t="n"/>
      <c r="B97" s="6" t="n"/>
      <c r="C97" s="6" t="n"/>
      <c r="D97" s="6" t="n"/>
      <c r="E97" s="6" t="n"/>
      <c r="F97" s="6" t="n"/>
      <c r="G97" s="6" t="n"/>
      <c r="H97" s="6" t="n"/>
      <c r="I97" s="6" t="n"/>
      <c r="J97" s="6" t="n"/>
      <c r="K97" s="6" t="n"/>
      <c r="L97" s="6" t="n"/>
      <c r="M97" s="6" t="n"/>
      <c r="N97" s="6" t="n"/>
      <c r="O97" s="6" t="n"/>
      <c r="P97" s="6" t="n"/>
      <c r="Q97" s="6" t="n"/>
      <c r="R97" s="6" t="n"/>
      <c r="S97" s="6" t="n"/>
      <c r="T97" s="6" t="n"/>
      <c r="U97" s="6" t="n"/>
      <c r="V97" s="6" t="n"/>
      <c r="W97" s="6" t="n"/>
      <c r="X97" s="6" t="n"/>
      <c r="Y97" s="6" t="n"/>
      <c r="Z97" s="6" t="n"/>
    </row>
    <row r="98">
      <c r="A98" s="6" t="n"/>
      <c r="B98" s="6" t="n"/>
      <c r="C98" s="6" t="n"/>
      <c r="D98" s="6" t="n"/>
      <c r="E98" s="6" t="n"/>
      <c r="F98" s="6" t="n"/>
      <c r="G98" s="6" t="n"/>
      <c r="H98" s="6" t="n"/>
      <c r="I98" s="6" t="n"/>
      <c r="J98" s="6" t="n"/>
      <c r="K98" s="6" t="n"/>
      <c r="L98" s="6" t="n"/>
      <c r="M98" s="6" t="n"/>
      <c r="N98" s="6" t="n"/>
      <c r="O98" s="6" t="n"/>
      <c r="P98" s="6" t="n"/>
      <c r="Q98" s="6" t="n"/>
      <c r="R98" s="6" t="n"/>
      <c r="S98" s="6" t="n"/>
      <c r="T98" s="6" t="n"/>
      <c r="U98" s="6" t="n"/>
      <c r="V98" s="6" t="n"/>
      <c r="W98" s="6" t="n"/>
      <c r="X98" s="6" t="n"/>
      <c r="Y98" s="6" t="n"/>
      <c r="Z98" s="6" t="n"/>
    </row>
    <row r="99">
      <c r="A99" s="6" t="n"/>
      <c r="B99" s="6" t="n"/>
      <c r="C99" s="6" t="n"/>
      <c r="D99" s="6" t="n"/>
      <c r="E99" s="6" t="n"/>
      <c r="F99" s="6" t="n"/>
      <c r="G99" s="6" t="n"/>
      <c r="H99" s="6" t="n"/>
      <c r="I99" s="6" t="n"/>
      <c r="J99" s="6" t="n"/>
      <c r="K99" s="6" t="n"/>
      <c r="L99" s="6" t="n"/>
      <c r="M99" s="6" t="n"/>
      <c r="N99" s="6" t="n"/>
      <c r="O99" s="6" t="n"/>
      <c r="P99" s="6" t="n"/>
      <c r="Q99" s="6" t="n"/>
      <c r="R99" s="6" t="n"/>
      <c r="S99" s="6" t="n"/>
      <c r="T99" s="6" t="n"/>
      <c r="U99" s="6" t="n"/>
      <c r="V99" s="6" t="n"/>
      <c r="W99" s="6" t="n"/>
      <c r="X99" s="6" t="n"/>
      <c r="Y99" s="6" t="n"/>
      <c r="Z99" s="6" t="n"/>
    </row>
    <row r="100">
      <c r="A100" s="6" t="n"/>
      <c r="B100" s="6" t="n"/>
      <c r="C100" s="6" t="n"/>
      <c r="D100" s="6" t="n"/>
      <c r="E100" s="6" t="n"/>
      <c r="F100" s="6" t="n"/>
      <c r="G100" s="6" t="n"/>
      <c r="H100" s="6" t="n"/>
      <c r="I100" s="6" t="n"/>
      <c r="J100" s="6" t="n"/>
      <c r="K100" s="6" t="n"/>
      <c r="L100" s="6" t="n"/>
      <c r="M100" s="6" t="n"/>
      <c r="N100" s="6" t="n"/>
      <c r="O100" s="6" t="n"/>
      <c r="P100" s="6" t="n"/>
      <c r="Q100" s="6" t="n"/>
      <c r="R100" s="6" t="n"/>
      <c r="S100" s="6" t="n"/>
      <c r="T100" s="6" t="n"/>
      <c r="U100" s="6" t="n"/>
      <c r="V100" s="6" t="n"/>
      <c r="W100" s="6" t="n"/>
      <c r="X100" s="6" t="n"/>
      <c r="Y100" s="6" t="n"/>
      <c r="Z100" s="6" t="n"/>
    </row>
    <row r="101">
      <c r="A101" s="6" t="n"/>
      <c r="B101" s="6" t="n"/>
      <c r="C101" s="6" t="n"/>
      <c r="D101" s="6" t="n"/>
      <c r="E101" s="6" t="n"/>
      <c r="F101" s="6" t="n"/>
      <c r="G101" s="6" t="n"/>
      <c r="H101" s="6" t="n"/>
      <c r="I101" s="6" t="n"/>
      <c r="J101" s="6" t="n"/>
      <c r="K101" s="6" t="n"/>
      <c r="L101" s="6" t="n"/>
      <c r="M101" s="6" t="n"/>
      <c r="N101" s="6" t="n"/>
      <c r="O101" s="6" t="n"/>
      <c r="P101" s="6" t="n"/>
      <c r="Q101" s="6" t="n"/>
      <c r="R101" s="6" t="n"/>
      <c r="S101" s="6" t="n"/>
      <c r="T101" s="6" t="n"/>
      <c r="U101" s="6" t="n"/>
      <c r="V101" s="6" t="n"/>
      <c r="W101" s="6" t="n"/>
      <c r="X101" s="6" t="n"/>
      <c r="Y101" s="6" t="n"/>
      <c r="Z101" s="6" t="n"/>
    </row>
    <row r="102">
      <c r="A102" s="6" t="n"/>
      <c r="B102" s="6" t="n"/>
      <c r="C102" s="6" t="n"/>
      <c r="D102" s="6" t="n"/>
      <c r="E102" s="6" t="n"/>
      <c r="F102" s="6" t="n"/>
      <c r="G102" s="6" t="n"/>
      <c r="H102" s="6" t="n"/>
      <c r="I102" s="6" t="n"/>
      <c r="J102" s="6" t="n"/>
      <c r="K102" s="6" t="n"/>
      <c r="L102" s="6" t="n"/>
      <c r="M102" s="6" t="n"/>
      <c r="N102" s="6" t="n"/>
      <c r="O102" s="6" t="n"/>
      <c r="P102" s="6" t="n"/>
      <c r="Q102" s="6" t="n"/>
      <c r="R102" s="6" t="n"/>
      <c r="S102" s="6" t="n"/>
      <c r="T102" s="6" t="n"/>
      <c r="U102" s="6" t="n"/>
      <c r="V102" s="6" t="n"/>
      <c r="W102" s="6" t="n"/>
      <c r="X102" s="6" t="n"/>
      <c r="Y102" s="6" t="n"/>
      <c r="Z102" s="6" t="n"/>
    </row>
    <row r="103">
      <c r="A103" s="6" t="n"/>
      <c r="B103" s="6" t="n"/>
      <c r="C103" s="6" t="n"/>
      <c r="D103" s="6" t="n"/>
      <c r="E103" s="6" t="n"/>
      <c r="F103" s="6" t="n"/>
      <c r="G103" s="6" t="n"/>
      <c r="H103" s="6" t="n"/>
      <c r="I103" s="6" t="n"/>
      <c r="J103" s="6" t="n"/>
      <c r="K103" s="6" t="n"/>
      <c r="L103" s="6" t="n"/>
      <c r="M103" s="6" t="n"/>
      <c r="N103" s="6" t="n"/>
      <c r="O103" s="6" t="n"/>
      <c r="P103" s="6" t="n"/>
      <c r="Q103" s="6" t="n"/>
      <c r="R103" s="6" t="n"/>
      <c r="S103" s="6" t="n"/>
      <c r="T103" s="6" t="n"/>
      <c r="U103" s="6" t="n"/>
      <c r="V103" s="6" t="n"/>
      <c r="W103" s="6" t="n"/>
      <c r="X103" s="6" t="n"/>
      <c r="Y103" s="6" t="n"/>
      <c r="Z103" s="6" t="n"/>
    </row>
    <row r="104">
      <c r="A104" s="6" t="n"/>
      <c r="B104" s="6" t="n"/>
      <c r="C104" s="6" t="n"/>
      <c r="D104" s="6" t="n"/>
      <c r="E104" s="6" t="n"/>
      <c r="F104" s="6" t="n"/>
      <c r="G104" s="6" t="n"/>
      <c r="H104" s="6" t="n"/>
      <c r="I104" s="6" t="n"/>
      <c r="J104" s="6" t="n"/>
      <c r="K104" s="6" t="n"/>
      <c r="L104" s="6" t="n"/>
      <c r="M104" s="6" t="n"/>
      <c r="N104" s="6" t="n"/>
      <c r="O104" s="6" t="n"/>
      <c r="P104" s="6" t="n"/>
      <c r="Q104" s="6" t="n"/>
      <c r="R104" s="6" t="n"/>
      <c r="S104" s="6" t="n"/>
      <c r="T104" s="6" t="n"/>
      <c r="U104" s="6" t="n"/>
      <c r="V104" s="6" t="n"/>
      <c r="W104" s="6" t="n"/>
      <c r="X104" s="6" t="n"/>
      <c r="Y104" s="6" t="n"/>
      <c r="Z104" s="6" t="n"/>
    </row>
    <row r="105">
      <c r="A105" s="6" t="n"/>
      <c r="B105" s="6" t="n"/>
      <c r="C105" s="6" t="n"/>
      <c r="D105" s="6" t="n"/>
      <c r="E105" s="6" t="n"/>
      <c r="F105" s="6" t="n"/>
      <c r="G105" s="6" t="n"/>
      <c r="H105" s="6" t="n"/>
      <c r="I105" s="6" t="n"/>
      <c r="J105" s="6" t="n"/>
      <c r="K105" s="6" t="n"/>
      <c r="L105" s="6" t="n"/>
      <c r="M105" s="6" t="n"/>
      <c r="N105" s="6" t="n"/>
      <c r="O105" s="6" t="n"/>
      <c r="P105" s="6" t="n"/>
      <c r="Q105" s="6" t="n"/>
      <c r="R105" s="6" t="n"/>
      <c r="S105" s="6" t="n"/>
      <c r="T105" s="6" t="n"/>
      <c r="U105" s="6" t="n"/>
      <c r="V105" s="6" t="n"/>
      <c r="W105" s="6" t="n"/>
      <c r="X105" s="6" t="n"/>
      <c r="Y105" s="6" t="n"/>
      <c r="Z105" s="6" t="n"/>
    </row>
    <row r="106">
      <c r="A106" s="6" t="n"/>
      <c r="B106" s="6" t="n"/>
      <c r="C106" s="6" t="n"/>
      <c r="D106" s="6" t="n"/>
      <c r="E106" s="6" t="n"/>
      <c r="F106" s="6" t="n"/>
      <c r="G106" s="6" t="n"/>
      <c r="H106" s="6" t="n"/>
      <c r="I106" s="6" t="n"/>
      <c r="J106" s="6" t="n"/>
      <c r="K106" s="6" t="n"/>
      <c r="L106" s="6" t="n"/>
      <c r="M106" s="6" t="n"/>
      <c r="N106" s="6" t="n"/>
      <c r="O106" s="6" t="n"/>
      <c r="P106" s="6" t="n"/>
      <c r="Q106" s="6" t="n"/>
      <c r="R106" s="6" t="n"/>
      <c r="S106" s="6" t="n"/>
      <c r="T106" s="6" t="n"/>
      <c r="U106" s="6" t="n"/>
      <c r="V106" s="6" t="n"/>
      <c r="W106" s="6" t="n"/>
      <c r="X106" s="6" t="n"/>
      <c r="Y106" s="6" t="n"/>
      <c r="Z106" s="6" t="n"/>
    </row>
    <row r="107">
      <c r="A107" s="6" t="n"/>
      <c r="B107" s="6" t="n"/>
      <c r="C107" s="6" t="n"/>
      <c r="D107" s="6" t="n"/>
      <c r="E107" s="6" t="n"/>
      <c r="F107" s="6" t="n"/>
      <c r="G107" s="6" t="n"/>
      <c r="H107" s="6" t="n"/>
      <c r="I107" s="6" t="n"/>
      <c r="J107" s="6" t="n"/>
      <c r="K107" s="6" t="n"/>
      <c r="L107" s="6" t="n"/>
      <c r="M107" s="6" t="n"/>
      <c r="N107" s="6" t="n"/>
      <c r="O107" s="6" t="n"/>
      <c r="P107" s="6" t="n"/>
      <c r="Q107" s="6" t="n"/>
      <c r="R107" s="6" t="n"/>
      <c r="S107" s="6" t="n"/>
      <c r="T107" s="6" t="n"/>
      <c r="U107" s="6" t="n"/>
      <c r="V107" s="6" t="n"/>
      <c r="W107" s="6" t="n"/>
      <c r="X107" s="6" t="n"/>
      <c r="Y107" s="6" t="n"/>
      <c r="Z107" s="6" t="n"/>
    </row>
    <row r="108">
      <c r="A108" s="6" t="n"/>
      <c r="B108" s="6" t="n"/>
      <c r="C108" s="6" t="n"/>
      <c r="D108" s="6" t="n"/>
      <c r="E108" s="6" t="n"/>
      <c r="F108" s="6" t="n"/>
      <c r="G108" s="6" t="n"/>
      <c r="H108" s="6" t="n"/>
      <c r="I108" s="6" t="n"/>
      <c r="J108" s="6" t="n"/>
      <c r="K108" s="6" t="n"/>
      <c r="L108" s="6" t="n"/>
      <c r="M108" s="6" t="n"/>
      <c r="N108" s="6" t="n"/>
      <c r="O108" s="6" t="n"/>
      <c r="P108" s="6" t="n"/>
      <c r="Q108" s="6" t="n"/>
      <c r="R108" s="6" t="n"/>
      <c r="S108" s="6" t="n"/>
      <c r="T108" s="6" t="n"/>
      <c r="U108" s="6" t="n"/>
      <c r="V108" s="6" t="n"/>
      <c r="W108" s="6" t="n"/>
      <c r="X108" s="6" t="n"/>
      <c r="Y108" s="6" t="n"/>
      <c r="Z108" s="6" t="n"/>
    </row>
    <row r="109">
      <c r="A109" s="6" t="n"/>
      <c r="B109" s="6" t="n"/>
      <c r="C109" s="6" t="n"/>
      <c r="D109" s="6" t="n"/>
      <c r="E109" s="6" t="n"/>
      <c r="F109" s="6" t="n"/>
      <c r="G109" s="6" t="n"/>
      <c r="H109" s="6" t="n"/>
      <c r="I109" s="6" t="n"/>
      <c r="J109" s="6" t="n"/>
      <c r="K109" s="6" t="n"/>
      <c r="L109" s="6" t="n"/>
      <c r="M109" s="6" t="n"/>
      <c r="N109" s="6" t="n"/>
      <c r="O109" s="6" t="n"/>
      <c r="P109" s="6" t="n"/>
      <c r="Q109" s="6" t="n"/>
      <c r="R109" s="6" t="n"/>
      <c r="S109" s="6" t="n"/>
      <c r="T109" s="6" t="n"/>
      <c r="U109" s="6" t="n"/>
      <c r="V109" s="6" t="n"/>
      <c r="W109" s="6" t="n"/>
      <c r="X109" s="6" t="n"/>
      <c r="Y109" s="6" t="n"/>
      <c r="Z109" s="6" t="n"/>
    </row>
    <row r="110">
      <c r="A110" s="6" t="n"/>
      <c r="B110" s="6" t="n"/>
      <c r="C110" s="6" t="n"/>
      <c r="D110" s="6" t="n"/>
      <c r="E110" s="6" t="n"/>
      <c r="F110" s="6" t="n"/>
      <c r="G110" s="6" t="n"/>
      <c r="H110" s="6" t="n"/>
      <c r="I110" s="6" t="n"/>
      <c r="J110" s="6" t="n"/>
      <c r="K110" s="6" t="n"/>
      <c r="L110" s="6" t="n"/>
      <c r="M110" s="6" t="n"/>
      <c r="N110" s="6" t="n"/>
      <c r="O110" s="6" t="n"/>
      <c r="P110" s="6" t="n"/>
      <c r="Q110" s="6" t="n"/>
      <c r="R110" s="6" t="n"/>
      <c r="S110" s="6" t="n"/>
      <c r="T110" s="6" t="n"/>
      <c r="U110" s="6" t="n"/>
      <c r="V110" s="6" t="n"/>
      <c r="W110" s="6" t="n"/>
      <c r="X110" s="6" t="n"/>
      <c r="Y110" s="6" t="n"/>
      <c r="Z110" s="6" t="n"/>
    </row>
    <row r="111">
      <c r="A111" s="6" t="n"/>
      <c r="B111" s="6" t="n"/>
      <c r="C111" s="6" t="n"/>
      <c r="D111" s="6" t="n"/>
      <c r="E111" s="6" t="n"/>
      <c r="F111" s="6" t="n"/>
      <c r="G111" s="6" t="n"/>
      <c r="H111" s="6" t="n"/>
      <c r="I111" s="6" t="n"/>
      <c r="J111" s="6" t="n"/>
      <c r="K111" s="6" t="n"/>
      <c r="L111" s="6" t="n"/>
      <c r="M111" s="6" t="n"/>
      <c r="N111" s="6" t="n"/>
      <c r="O111" s="6" t="n"/>
      <c r="P111" s="6" t="n"/>
      <c r="Q111" s="6" t="n"/>
      <c r="R111" s="6" t="n"/>
      <c r="S111" s="6" t="n"/>
      <c r="T111" s="6" t="n"/>
      <c r="U111" s="6" t="n"/>
      <c r="V111" s="6" t="n"/>
      <c r="W111" s="6" t="n"/>
      <c r="X111" s="6" t="n"/>
      <c r="Y111" s="6" t="n"/>
      <c r="Z111" s="6" t="n"/>
    </row>
    <row r="112">
      <c r="A112" s="6" t="n"/>
      <c r="B112" s="6" t="n"/>
      <c r="C112" s="6" t="n"/>
      <c r="D112" s="6" t="n"/>
      <c r="E112" s="6" t="n"/>
      <c r="F112" s="6" t="n"/>
      <c r="G112" s="6" t="n"/>
      <c r="H112" s="6" t="n"/>
      <c r="I112" s="6" t="n"/>
      <c r="J112" s="6" t="n"/>
      <c r="K112" s="6" t="n"/>
      <c r="L112" s="6" t="n"/>
      <c r="M112" s="6" t="n"/>
      <c r="N112" s="6" t="n"/>
      <c r="O112" s="6" t="n"/>
      <c r="P112" s="6" t="n"/>
      <c r="Q112" s="6" t="n"/>
      <c r="R112" s="6" t="n"/>
      <c r="S112" s="6" t="n"/>
      <c r="T112" s="6" t="n"/>
      <c r="U112" s="6" t="n"/>
      <c r="V112" s="6" t="n"/>
      <c r="W112" s="6" t="n"/>
      <c r="X112" s="6" t="n"/>
      <c r="Y112" s="6" t="n"/>
      <c r="Z112" s="6" t="n"/>
    </row>
    <row r="113">
      <c r="A113" s="6" t="n"/>
      <c r="B113" s="6" t="n"/>
      <c r="C113" s="6" t="n"/>
      <c r="D113" s="6" t="n"/>
      <c r="E113" s="6" t="n"/>
      <c r="F113" s="6" t="n"/>
      <c r="G113" s="6" t="n"/>
      <c r="H113" s="6" t="n"/>
      <c r="I113" s="6" t="n"/>
      <c r="J113" s="6" t="n"/>
      <c r="K113" s="6" t="n"/>
      <c r="L113" s="6" t="n"/>
      <c r="M113" s="6" t="n"/>
      <c r="N113" s="6" t="n"/>
      <c r="O113" s="6" t="n"/>
      <c r="P113" s="6" t="n"/>
      <c r="Q113" s="6" t="n"/>
      <c r="R113" s="6" t="n"/>
      <c r="S113" s="6" t="n"/>
      <c r="T113" s="6" t="n"/>
      <c r="U113" s="6" t="n"/>
      <c r="V113" s="6" t="n"/>
      <c r="W113" s="6" t="n"/>
      <c r="X113" s="6" t="n"/>
      <c r="Y113" s="6" t="n"/>
      <c r="Z113" s="6" t="n"/>
    </row>
    <row r="114">
      <c r="A114" s="6" t="n"/>
      <c r="B114" s="6" t="n"/>
      <c r="C114" s="6" t="n"/>
      <c r="D114" s="6" t="n"/>
      <c r="E114" s="6" t="n"/>
      <c r="F114" s="6" t="n"/>
      <c r="G114" s="6" t="n"/>
      <c r="H114" s="6" t="n"/>
      <c r="I114" s="6" t="n"/>
      <c r="J114" s="6" t="n"/>
      <c r="K114" s="6" t="n"/>
      <c r="L114" s="6" t="n"/>
      <c r="M114" s="6" t="n"/>
      <c r="N114" s="6" t="n"/>
      <c r="O114" s="6" t="n"/>
      <c r="P114" s="6" t="n"/>
      <c r="Q114" s="6" t="n"/>
      <c r="R114" s="6" t="n"/>
      <c r="S114" s="6" t="n"/>
      <c r="T114" s="6" t="n"/>
      <c r="U114" s="6" t="n"/>
      <c r="V114" s="6" t="n"/>
      <c r="W114" s="6" t="n"/>
      <c r="X114" s="6" t="n"/>
      <c r="Y114" s="6" t="n"/>
      <c r="Z114" s="6" t="n"/>
    </row>
    <row r="115">
      <c r="A115" s="6" t="n"/>
      <c r="B115" s="6" t="n"/>
      <c r="C115" s="6" t="n"/>
      <c r="D115" s="6" t="n"/>
      <c r="E115" s="6" t="n"/>
      <c r="F115" s="6" t="n"/>
      <c r="G115" s="6" t="n"/>
      <c r="H115" s="6" t="n"/>
      <c r="I115" s="6" t="n"/>
      <c r="J115" s="6" t="n"/>
      <c r="K115" s="6" t="n"/>
      <c r="L115" s="6" t="n"/>
      <c r="M115" s="6" t="n"/>
      <c r="N115" s="6" t="n"/>
      <c r="O115" s="6" t="n"/>
      <c r="P115" s="6" t="n"/>
      <c r="Q115" s="6" t="n"/>
      <c r="R115" s="6" t="n"/>
      <c r="S115" s="6" t="n"/>
      <c r="T115" s="6" t="n"/>
      <c r="U115" s="6" t="n"/>
      <c r="V115" s="6" t="n"/>
      <c r="W115" s="6" t="n"/>
      <c r="X115" s="6" t="n"/>
      <c r="Y115" s="6" t="n"/>
      <c r="Z115" s="6" t="n"/>
    </row>
    <row r="116">
      <c r="A116" s="6" t="n"/>
      <c r="B116" s="6" t="n"/>
      <c r="C116" s="6" t="n"/>
      <c r="D116" s="6" t="n"/>
      <c r="E116" s="6" t="n"/>
      <c r="F116" s="6" t="n"/>
      <c r="G116" s="6" t="n"/>
      <c r="H116" s="6" t="n"/>
      <c r="I116" s="6" t="n"/>
      <c r="J116" s="6" t="n"/>
      <c r="K116" s="6" t="n"/>
      <c r="L116" s="6" t="n"/>
      <c r="M116" s="6" t="n"/>
      <c r="N116" s="6" t="n"/>
      <c r="O116" s="6" t="n"/>
      <c r="P116" s="6" t="n"/>
      <c r="Q116" s="6" t="n"/>
      <c r="R116" s="6" t="n"/>
      <c r="S116" s="6" t="n"/>
      <c r="T116" s="6" t="n"/>
      <c r="U116" s="6" t="n"/>
      <c r="V116" s="6" t="n"/>
      <c r="W116" s="6" t="n"/>
      <c r="X116" s="6" t="n"/>
      <c r="Y116" s="6" t="n"/>
      <c r="Z116" s="6" t="n"/>
    </row>
    <row r="117">
      <c r="A117" s="6" t="n"/>
      <c r="B117" s="6" t="n"/>
      <c r="C117" s="6" t="n"/>
      <c r="D117" s="6" t="n"/>
      <c r="E117" s="6" t="n"/>
      <c r="F117" s="6" t="n"/>
      <c r="G117" s="6" t="n"/>
      <c r="H117" s="6" t="n"/>
      <c r="I117" s="6" t="n"/>
      <c r="J117" s="6" t="n"/>
      <c r="K117" s="6" t="n"/>
      <c r="L117" s="6" t="n"/>
      <c r="M117" s="6" t="n"/>
      <c r="N117" s="6" t="n"/>
      <c r="O117" s="6" t="n"/>
      <c r="P117" s="6" t="n"/>
      <c r="Q117" s="6" t="n"/>
      <c r="R117" s="6" t="n"/>
      <c r="S117" s="6" t="n"/>
      <c r="T117" s="6" t="n"/>
      <c r="U117" s="6" t="n"/>
      <c r="V117" s="6" t="n"/>
      <c r="W117" s="6" t="n"/>
      <c r="X117" s="6" t="n"/>
      <c r="Y117" s="6" t="n"/>
      <c r="Z117" s="6" t="n"/>
    </row>
    <row r="118">
      <c r="A118" s="6" t="n"/>
      <c r="B118" s="6" t="n"/>
      <c r="C118" s="6" t="n"/>
      <c r="D118" s="6" t="n"/>
      <c r="E118" s="6" t="n"/>
      <c r="F118" s="6" t="n"/>
      <c r="G118" s="6" t="n"/>
      <c r="H118" s="6" t="n"/>
      <c r="I118" s="6" t="n"/>
      <c r="J118" s="6" t="n"/>
      <c r="K118" s="6" t="n"/>
      <c r="L118" s="6" t="n"/>
      <c r="M118" s="6" t="n"/>
      <c r="N118" s="6" t="n"/>
      <c r="O118" s="6" t="n"/>
      <c r="P118" s="6" t="n"/>
      <c r="Q118" s="6" t="n"/>
      <c r="R118" s="6" t="n"/>
      <c r="S118" s="6" t="n"/>
      <c r="T118" s="6" t="n"/>
      <c r="U118" s="6" t="n"/>
      <c r="V118" s="6" t="n"/>
      <c r="W118" s="6" t="n"/>
      <c r="X118" s="6" t="n"/>
      <c r="Y118" s="6" t="n"/>
      <c r="Z118" s="6" t="n"/>
    </row>
    <row r="119">
      <c r="A119" s="6" t="n"/>
      <c r="B119" s="6" t="n"/>
      <c r="C119" s="6" t="n"/>
      <c r="D119" s="6" t="n"/>
      <c r="E119" s="6" t="n"/>
      <c r="F119" s="6" t="n"/>
      <c r="G119" s="6" t="n"/>
      <c r="H119" s="6" t="n"/>
      <c r="I119" s="6" t="n"/>
      <c r="J119" s="6" t="n"/>
      <c r="K119" s="6" t="n"/>
      <c r="L119" s="6" t="n"/>
      <c r="M119" s="6" t="n"/>
      <c r="N119" s="6" t="n"/>
      <c r="O119" s="6" t="n"/>
      <c r="P119" s="6" t="n"/>
      <c r="Q119" s="6" t="n"/>
      <c r="R119" s="6" t="n"/>
      <c r="S119" s="6" t="n"/>
      <c r="T119" s="6" t="n"/>
      <c r="U119" s="6" t="n"/>
      <c r="V119" s="6" t="n"/>
      <c r="W119" s="6" t="n"/>
      <c r="X119" s="6" t="n"/>
      <c r="Y119" s="6" t="n"/>
      <c r="Z119" s="6" t="n"/>
    </row>
    <row r="120">
      <c r="A120" s="6" t="n"/>
      <c r="B120" s="6" t="n"/>
      <c r="C120" s="6" t="n"/>
      <c r="D120" s="6" t="n"/>
      <c r="E120" s="6" t="n"/>
      <c r="F120" s="6" t="n"/>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row>
    <row r="121">
      <c r="A121" s="6" t="n"/>
      <c r="B121" s="6" t="n"/>
      <c r="C121" s="6" t="n"/>
      <c r="D121" s="6" t="n"/>
      <c r="E121" s="6" t="n"/>
      <c r="F121" s="6" t="n"/>
      <c r="G121" s="6" t="n"/>
      <c r="H121" s="6" t="n"/>
      <c r="I121" s="6" t="n"/>
      <c r="J121" s="6" t="n"/>
      <c r="K121" s="6" t="n"/>
      <c r="L121" s="6" t="n"/>
      <c r="M121" s="6" t="n"/>
      <c r="N121" s="6" t="n"/>
      <c r="O121" s="6" t="n"/>
      <c r="P121" s="6" t="n"/>
      <c r="Q121" s="6" t="n"/>
      <c r="R121" s="6" t="n"/>
      <c r="S121" s="6" t="n"/>
      <c r="T121" s="6" t="n"/>
      <c r="U121" s="6" t="n"/>
      <c r="V121" s="6" t="n"/>
      <c r="W121" s="6" t="n"/>
      <c r="X121" s="6" t="n"/>
      <c r="Y121" s="6" t="n"/>
      <c r="Z121" s="6" t="n"/>
    </row>
    <row r="122">
      <c r="A122" s="6" t="n"/>
      <c r="B122" s="6" t="n"/>
      <c r="C122" s="6" t="n"/>
      <c r="D122" s="6" t="n"/>
      <c r="E122" s="6" t="n"/>
      <c r="F122" s="6" t="n"/>
      <c r="G122" s="6" t="n"/>
      <c r="H122" s="6" t="n"/>
      <c r="I122" s="6" t="n"/>
      <c r="J122" s="6" t="n"/>
      <c r="K122" s="6" t="n"/>
      <c r="L122" s="6" t="n"/>
      <c r="M122" s="6" t="n"/>
      <c r="N122" s="6" t="n"/>
      <c r="O122" s="6" t="n"/>
      <c r="P122" s="6" t="n"/>
      <c r="Q122" s="6" t="n"/>
      <c r="R122" s="6" t="n"/>
      <c r="S122" s="6" t="n"/>
      <c r="T122" s="6" t="n"/>
      <c r="U122" s="6" t="n"/>
      <c r="V122" s="6" t="n"/>
      <c r="W122" s="6" t="n"/>
      <c r="X122" s="6" t="n"/>
      <c r="Y122" s="6" t="n"/>
      <c r="Z122" s="6" t="n"/>
    </row>
    <row r="123">
      <c r="A123" s="6" t="n"/>
      <c r="B123" s="6" t="n"/>
      <c r="C123" s="6" t="n"/>
      <c r="D123" s="6" t="n"/>
      <c r="E123" s="6" t="n"/>
      <c r="F123" s="6" t="n"/>
      <c r="G123" s="6" t="n"/>
      <c r="H123" s="6" t="n"/>
      <c r="I123" s="6" t="n"/>
      <c r="J123" s="6" t="n"/>
      <c r="K123" s="6" t="n"/>
      <c r="L123" s="6" t="n"/>
      <c r="M123" s="6" t="n"/>
      <c r="N123" s="6" t="n"/>
      <c r="O123" s="6" t="n"/>
      <c r="P123" s="6" t="n"/>
      <c r="Q123" s="6" t="n"/>
      <c r="R123" s="6" t="n"/>
      <c r="S123" s="6" t="n"/>
      <c r="T123" s="6" t="n"/>
      <c r="U123" s="6" t="n"/>
      <c r="V123" s="6" t="n"/>
      <c r="W123" s="6" t="n"/>
      <c r="X123" s="6" t="n"/>
      <c r="Y123" s="6" t="n"/>
      <c r="Z123" s="6" t="n"/>
    </row>
    <row r="124">
      <c r="A124" s="6" t="n"/>
      <c r="B124" s="6" t="n"/>
      <c r="C124" s="6" t="n"/>
      <c r="D124" s="6" t="n"/>
      <c r="E124" s="6" t="n"/>
      <c r="F124" s="6" t="n"/>
      <c r="G124" s="6" t="n"/>
      <c r="H124" s="6" t="n"/>
      <c r="I124" s="6" t="n"/>
      <c r="J124" s="6" t="n"/>
      <c r="K124" s="6" t="n"/>
      <c r="L124" s="6" t="n"/>
      <c r="M124" s="6" t="n"/>
      <c r="N124" s="6" t="n"/>
      <c r="O124" s="6" t="n"/>
      <c r="P124" s="6" t="n"/>
      <c r="Q124" s="6" t="n"/>
      <c r="R124" s="6" t="n"/>
      <c r="S124" s="6" t="n"/>
      <c r="T124" s="6" t="n"/>
      <c r="U124" s="6" t="n"/>
      <c r="V124" s="6" t="n"/>
      <c r="W124" s="6" t="n"/>
      <c r="X124" s="6" t="n"/>
      <c r="Y124" s="6" t="n"/>
      <c r="Z124" s="6" t="n"/>
    </row>
    <row r="125">
      <c r="A125" s="6" t="n"/>
      <c r="B125" s="6" t="n"/>
      <c r="C125" s="6" t="n"/>
      <c r="D125" s="6" t="n"/>
      <c r="E125" s="6" t="n"/>
      <c r="F125" s="6" t="n"/>
      <c r="G125" s="6" t="n"/>
      <c r="H125" s="6" t="n"/>
      <c r="I125" s="6" t="n"/>
      <c r="J125" s="6" t="n"/>
      <c r="K125" s="6" t="n"/>
      <c r="L125" s="6" t="n"/>
      <c r="M125" s="6" t="n"/>
      <c r="N125" s="6" t="n"/>
      <c r="O125" s="6" t="n"/>
      <c r="P125" s="6" t="n"/>
      <c r="Q125" s="6" t="n"/>
      <c r="R125" s="6" t="n"/>
      <c r="S125" s="6" t="n"/>
      <c r="T125" s="6" t="n"/>
      <c r="U125" s="6" t="n"/>
      <c r="V125" s="6" t="n"/>
      <c r="W125" s="6" t="n"/>
      <c r="X125" s="6" t="n"/>
      <c r="Y125" s="6" t="n"/>
      <c r="Z125" s="6" t="n"/>
    </row>
    <row r="126">
      <c r="A126" s="6" t="n"/>
      <c r="B126" s="6" t="n"/>
      <c r="C126" s="6" t="n"/>
      <c r="D126" s="6" t="n"/>
      <c r="E126" s="6" t="n"/>
      <c r="F126" s="6" t="n"/>
      <c r="G126" s="6" t="n"/>
      <c r="H126" s="6" t="n"/>
      <c r="I126" s="6" t="n"/>
      <c r="J126" s="6" t="n"/>
      <c r="K126" s="6" t="n"/>
      <c r="L126" s="6" t="n"/>
      <c r="M126" s="6" t="n"/>
      <c r="N126" s="6" t="n"/>
      <c r="O126" s="6" t="n"/>
      <c r="P126" s="6" t="n"/>
      <c r="Q126" s="6" t="n"/>
      <c r="R126" s="6" t="n"/>
      <c r="S126" s="6" t="n"/>
      <c r="T126" s="6" t="n"/>
      <c r="U126" s="6" t="n"/>
      <c r="V126" s="6" t="n"/>
      <c r="W126" s="6" t="n"/>
      <c r="X126" s="6" t="n"/>
      <c r="Y126" s="6" t="n"/>
      <c r="Z126" s="6" t="n"/>
    </row>
    <row r="127">
      <c r="A127" s="6" t="n"/>
      <c r="B127" s="6" t="n"/>
      <c r="C127" s="6" t="n"/>
      <c r="D127" s="6" t="n"/>
      <c r="E127" s="6" t="n"/>
      <c r="F127" s="6" t="n"/>
      <c r="G127" s="6" t="n"/>
      <c r="H127" s="6" t="n"/>
      <c r="I127" s="6" t="n"/>
      <c r="J127" s="6" t="n"/>
      <c r="K127" s="6" t="n"/>
      <c r="L127" s="6" t="n"/>
      <c r="M127" s="6" t="n"/>
      <c r="N127" s="6" t="n"/>
      <c r="O127" s="6" t="n"/>
      <c r="P127" s="6" t="n"/>
      <c r="Q127" s="6" t="n"/>
      <c r="R127" s="6" t="n"/>
      <c r="S127" s="6" t="n"/>
      <c r="T127" s="6" t="n"/>
      <c r="U127" s="6" t="n"/>
      <c r="V127" s="6" t="n"/>
      <c r="W127" s="6" t="n"/>
      <c r="X127" s="6" t="n"/>
      <c r="Y127" s="6" t="n"/>
      <c r="Z127" s="6" t="n"/>
    </row>
    <row r="128">
      <c r="A128" s="6" t="n"/>
      <c r="B128" s="6" t="n"/>
      <c r="C128" s="6" t="n"/>
      <c r="D128" s="6" t="n"/>
      <c r="E128" s="6" t="n"/>
      <c r="F128" s="6" t="n"/>
      <c r="G128" s="6" t="n"/>
      <c r="H128" s="6" t="n"/>
      <c r="I128" s="6" t="n"/>
      <c r="J128" s="6" t="n"/>
      <c r="K128" s="6" t="n"/>
      <c r="L128" s="6" t="n"/>
      <c r="M128" s="6" t="n"/>
      <c r="N128" s="6" t="n"/>
      <c r="O128" s="6" t="n"/>
      <c r="P128" s="6" t="n"/>
      <c r="Q128" s="6" t="n"/>
      <c r="R128" s="6" t="n"/>
      <c r="S128" s="6" t="n"/>
      <c r="T128" s="6" t="n"/>
      <c r="U128" s="6" t="n"/>
      <c r="V128" s="6" t="n"/>
      <c r="W128" s="6" t="n"/>
      <c r="X128" s="6" t="n"/>
      <c r="Y128" s="6" t="n"/>
      <c r="Z128" s="6" t="n"/>
    </row>
    <row r="129">
      <c r="A129" s="6" t="n"/>
      <c r="B129" s="6" t="n"/>
      <c r="C129" s="6" t="n"/>
      <c r="D129" s="6" t="n"/>
      <c r="E129" s="6" t="n"/>
      <c r="F129" s="6" t="n"/>
      <c r="G129" s="6" t="n"/>
      <c r="H129" s="6" t="n"/>
      <c r="I129" s="6" t="n"/>
      <c r="J129" s="6" t="n"/>
      <c r="K129" s="6" t="n"/>
      <c r="L129" s="6" t="n"/>
      <c r="M129" s="6" t="n"/>
      <c r="N129" s="6" t="n"/>
      <c r="O129" s="6" t="n"/>
      <c r="P129" s="6" t="n"/>
      <c r="Q129" s="6" t="n"/>
      <c r="R129" s="6" t="n"/>
      <c r="S129" s="6" t="n"/>
      <c r="T129" s="6" t="n"/>
      <c r="U129" s="6" t="n"/>
      <c r="V129" s="6" t="n"/>
      <c r="W129" s="6" t="n"/>
      <c r="X129" s="6" t="n"/>
      <c r="Y129" s="6" t="n"/>
      <c r="Z129" s="6" t="n"/>
    </row>
    <row r="130">
      <c r="A130" s="6" t="n"/>
      <c r="B130" s="6" t="n"/>
      <c r="C130" s="6" t="n"/>
      <c r="D130" s="6" t="n"/>
      <c r="E130" s="6" t="n"/>
      <c r="F130" s="6" t="n"/>
      <c r="G130" s="6" t="n"/>
      <c r="H130" s="6" t="n"/>
      <c r="I130" s="6" t="n"/>
      <c r="J130" s="6" t="n"/>
      <c r="K130" s="6" t="n"/>
      <c r="L130" s="6" t="n"/>
      <c r="M130" s="6" t="n"/>
      <c r="N130" s="6" t="n"/>
      <c r="O130" s="6" t="n"/>
      <c r="P130" s="6" t="n"/>
      <c r="Q130" s="6" t="n"/>
      <c r="R130" s="6" t="n"/>
      <c r="S130" s="6" t="n"/>
      <c r="T130" s="6" t="n"/>
      <c r="U130" s="6" t="n"/>
      <c r="V130" s="6" t="n"/>
      <c r="W130" s="6" t="n"/>
      <c r="X130" s="6" t="n"/>
      <c r="Y130" s="6" t="n"/>
      <c r="Z130" s="6" t="n"/>
    </row>
    <row r="131">
      <c r="A131" s="6" t="n"/>
      <c r="B131" s="6" t="n"/>
      <c r="C131" s="6" t="n"/>
      <c r="D131" s="6" t="n"/>
      <c r="E131" s="6" t="n"/>
      <c r="F131" s="6" t="n"/>
      <c r="G131" s="6" t="n"/>
      <c r="H131" s="6" t="n"/>
      <c r="I131" s="6" t="n"/>
      <c r="J131" s="6" t="n"/>
      <c r="K131" s="6" t="n"/>
      <c r="L131" s="6" t="n"/>
      <c r="M131" s="6" t="n"/>
      <c r="N131" s="6" t="n"/>
      <c r="O131" s="6" t="n"/>
      <c r="P131" s="6" t="n"/>
      <c r="Q131" s="6" t="n"/>
      <c r="R131" s="6" t="n"/>
      <c r="S131" s="6" t="n"/>
      <c r="T131" s="6" t="n"/>
      <c r="U131" s="6" t="n"/>
      <c r="V131" s="6" t="n"/>
      <c r="W131" s="6" t="n"/>
      <c r="X131" s="6" t="n"/>
      <c r="Y131" s="6" t="n"/>
      <c r="Z131" s="6" t="n"/>
    </row>
    <row r="132">
      <c r="A132" s="6" t="n"/>
      <c r="B132" s="6" t="n"/>
      <c r="C132" s="6" t="n"/>
      <c r="D132" s="6" t="n"/>
      <c r="E132" s="6" t="n"/>
      <c r="F132" s="6" t="n"/>
      <c r="G132" s="6" t="n"/>
      <c r="H132" s="6" t="n"/>
      <c r="I132" s="6" t="n"/>
      <c r="J132" s="6" t="n"/>
      <c r="K132" s="6" t="n"/>
      <c r="L132" s="6" t="n"/>
      <c r="M132" s="6" t="n"/>
      <c r="N132" s="6" t="n"/>
      <c r="O132" s="6" t="n"/>
      <c r="P132" s="6" t="n"/>
      <c r="Q132" s="6" t="n"/>
      <c r="R132" s="6" t="n"/>
      <c r="S132" s="6" t="n"/>
      <c r="T132" s="6" t="n"/>
      <c r="U132" s="6" t="n"/>
      <c r="V132" s="6" t="n"/>
      <c r="W132" s="6" t="n"/>
      <c r="X132" s="6" t="n"/>
      <c r="Y132" s="6" t="n"/>
      <c r="Z132" s="6" t="n"/>
    </row>
    <row r="133">
      <c r="A133" s="6" t="n"/>
      <c r="B133" s="6" t="n"/>
      <c r="C133" s="6" t="n"/>
      <c r="D133" s="6" t="n"/>
      <c r="E133" s="6" t="n"/>
      <c r="F133" s="6" t="n"/>
      <c r="G133" s="6" t="n"/>
      <c r="H133" s="6" t="n"/>
      <c r="I133" s="6" t="n"/>
      <c r="J133" s="6" t="n"/>
      <c r="K133" s="6" t="n"/>
      <c r="L133" s="6" t="n"/>
      <c r="M133" s="6" t="n"/>
      <c r="N133" s="6" t="n"/>
      <c r="O133" s="6" t="n"/>
      <c r="P133" s="6" t="n"/>
      <c r="Q133" s="6" t="n"/>
      <c r="R133" s="6" t="n"/>
      <c r="S133" s="6" t="n"/>
      <c r="T133" s="6" t="n"/>
      <c r="U133" s="6" t="n"/>
      <c r="V133" s="6" t="n"/>
      <c r="W133" s="6" t="n"/>
      <c r="X133" s="6" t="n"/>
      <c r="Y133" s="6" t="n"/>
      <c r="Z133" s="6" t="n"/>
    </row>
    <row r="134">
      <c r="A134" s="6" t="n"/>
      <c r="B134" s="6" t="n"/>
      <c r="C134" s="6" t="n"/>
      <c r="D134" s="6" t="n"/>
      <c r="E134" s="6" t="n"/>
      <c r="F134" s="6" t="n"/>
      <c r="G134" s="6" t="n"/>
      <c r="H134" s="6" t="n"/>
      <c r="I134" s="6" t="n"/>
      <c r="J134" s="6" t="n"/>
      <c r="K134" s="6" t="n"/>
      <c r="L134" s="6" t="n"/>
      <c r="M134" s="6" t="n"/>
      <c r="N134" s="6" t="n"/>
      <c r="O134" s="6" t="n"/>
      <c r="P134" s="6" t="n"/>
      <c r="Q134" s="6" t="n"/>
      <c r="R134" s="6" t="n"/>
      <c r="S134" s="6" t="n"/>
      <c r="T134" s="6" t="n"/>
      <c r="U134" s="6" t="n"/>
      <c r="V134" s="6" t="n"/>
      <c r="W134" s="6" t="n"/>
      <c r="X134" s="6" t="n"/>
      <c r="Y134" s="6" t="n"/>
      <c r="Z134" s="6" t="n"/>
    </row>
    <row r="135">
      <c r="A135" s="6" t="n"/>
      <c r="B135" s="6" t="n"/>
      <c r="C135" s="6" t="n"/>
      <c r="D135" s="6" t="n"/>
      <c r="E135" s="6" t="n"/>
      <c r="F135" s="6" t="n"/>
      <c r="G135" s="6" t="n"/>
      <c r="H135" s="6" t="n"/>
      <c r="I135" s="6" t="n"/>
      <c r="J135" s="6" t="n"/>
      <c r="K135" s="6" t="n"/>
      <c r="L135" s="6" t="n"/>
      <c r="M135" s="6" t="n"/>
      <c r="N135" s="6" t="n"/>
      <c r="O135" s="6" t="n"/>
      <c r="P135" s="6" t="n"/>
      <c r="Q135" s="6" t="n"/>
      <c r="R135" s="6" t="n"/>
      <c r="S135" s="6" t="n"/>
      <c r="T135" s="6" t="n"/>
      <c r="U135" s="6" t="n"/>
      <c r="V135" s="6" t="n"/>
      <c r="W135" s="6" t="n"/>
      <c r="X135" s="6" t="n"/>
      <c r="Y135" s="6" t="n"/>
      <c r="Z135" s="6" t="n"/>
    </row>
    <row r="136">
      <c r="A136" s="6" t="n"/>
      <c r="B136" s="6" t="n"/>
      <c r="C136" s="6" t="n"/>
      <c r="D136" s="6" t="n"/>
      <c r="E136" s="6" t="n"/>
      <c r="F136" s="6" t="n"/>
      <c r="G136" s="6" t="n"/>
      <c r="H136" s="6" t="n"/>
      <c r="I136" s="6" t="n"/>
      <c r="J136" s="6" t="n"/>
      <c r="K136" s="6" t="n"/>
      <c r="L136" s="6" t="n"/>
      <c r="M136" s="6" t="n"/>
      <c r="N136" s="6" t="n"/>
      <c r="O136" s="6" t="n"/>
      <c r="P136" s="6" t="n"/>
      <c r="Q136" s="6" t="n"/>
      <c r="R136" s="6" t="n"/>
      <c r="S136" s="6" t="n"/>
      <c r="T136" s="6" t="n"/>
      <c r="U136" s="6" t="n"/>
      <c r="V136" s="6" t="n"/>
      <c r="W136" s="6" t="n"/>
      <c r="X136" s="6" t="n"/>
      <c r="Y136" s="6" t="n"/>
      <c r="Z136" s="6" t="n"/>
    </row>
    <row r="137">
      <c r="A137" s="6" t="n"/>
      <c r="B137" s="6" t="n"/>
      <c r="C137" s="6" t="n"/>
      <c r="D137" s="6" t="n"/>
      <c r="E137" s="6" t="n"/>
      <c r="F137" s="6" t="n"/>
      <c r="G137" s="6" t="n"/>
      <c r="H137" s="6" t="n"/>
      <c r="I137" s="6" t="n"/>
      <c r="J137" s="6" t="n"/>
      <c r="K137" s="6" t="n"/>
      <c r="L137" s="6" t="n"/>
      <c r="M137" s="6" t="n"/>
      <c r="N137" s="6" t="n"/>
      <c r="O137" s="6" t="n"/>
      <c r="P137" s="6" t="n"/>
      <c r="Q137" s="6" t="n"/>
      <c r="R137" s="6" t="n"/>
      <c r="S137" s="6" t="n"/>
      <c r="T137" s="6" t="n"/>
      <c r="U137" s="6" t="n"/>
      <c r="V137" s="6" t="n"/>
      <c r="W137" s="6" t="n"/>
      <c r="X137" s="6" t="n"/>
      <c r="Y137" s="6" t="n"/>
      <c r="Z137" s="6" t="n"/>
    </row>
    <row r="138">
      <c r="A138" s="6" t="n"/>
      <c r="B138" s="6" t="n"/>
      <c r="C138" s="6" t="n"/>
      <c r="D138" s="6" t="n"/>
      <c r="E138" s="6" t="n"/>
      <c r="F138" s="6" t="n"/>
      <c r="G138" s="6" t="n"/>
      <c r="H138" s="6" t="n"/>
      <c r="I138" s="6" t="n"/>
      <c r="J138" s="6" t="n"/>
      <c r="K138" s="6" t="n"/>
      <c r="L138" s="6" t="n"/>
      <c r="M138" s="6" t="n"/>
      <c r="N138" s="6" t="n"/>
      <c r="O138" s="6" t="n"/>
      <c r="P138" s="6" t="n"/>
      <c r="Q138" s="6" t="n"/>
      <c r="R138" s="6" t="n"/>
      <c r="S138" s="6" t="n"/>
      <c r="T138" s="6" t="n"/>
      <c r="U138" s="6" t="n"/>
      <c r="V138" s="6" t="n"/>
      <c r="W138" s="6" t="n"/>
      <c r="X138" s="6" t="n"/>
      <c r="Y138" s="6" t="n"/>
      <c r="Z138" s="6" t="n"/>
    </row>
    <row r="139">
      <c r="A139" s="6" t="n"/>
      <c r="B139" s="6" t="n"/>
      <c r="C139" s="6" t="n"/>
      <c r="D139" s="6" t="n"/>
      <c r="E139" s="6" t="n"/>
      <c r="F139" s="6" t="n"/>
      <c r="G139" s="6" t="n"/>
      <c r="H139" s="6" t="n"/>
      <c r="I139" s="6" t="n"/>
      <c r="J139" s="6" t="n"/>
      <c r="K139" s="6" t="n"/>
      <c r="L139" s="6" t="n"/>
      <c r="M139" s="6" t="n"/>
      <c r="N139" s="6" t="n"/>
      <c r="O139" s="6" t="n"/>
      <c r="P139" s="6" t="n"/>
      <c r="Q139" s="6" t="n"/>
      <c r="R139" s="6" t="n"/>
      <c r="S139" s="6" t="n"/>
      <c r="T139" s="6" t="n"/>
      <c r="U139" s="6" t="n"/>
      <c r="V139" s="6" t="n"/>
      <c r="W139" s="6" t="n"/>
      <c r="X139" s="6" t="n"/>
      <c r="Y139" s="6" t="n"/>
      <c r="Z139" s="6" t="n"/>
    </row>
  </sheetData>
  <mergeCells count="42">
    <mergeCell ref="C49:G49"/>
    <mergeCell ref="C30:G30"/>
    <mergeCell ref="C34:G34"/>
    <mergeCell ref="C42:G42"/>
    <mergeCell ref="B6:E6"/>
    <mergeCell ref="C33:G33"/>
    <mergeCell ref="B5:E5"/>
    <mergeCell ref="N6:Q6"/>
    <mergeCell ref="C45:G45"/>
    <mergeCell ref="C29:G29"/>
    <mergeCell ref="C35:G35"/>
    <mergeCell ref="B4:E4"/>
    <mergeCell ref="C47:G47"/>
    <mergeCell ref="C54:G54"/>
    <mergeCell ref="F4:I4"/>
    <mergeCell ref="C50:G50"/>
    <mergeCell ref="N4:Q4"/>
    <mergeCell ref="C41:G41"/>
    <mergeCell ref="C44:G44"/>
    <mergeCell ref="C55:G55"/>
    <mergeCell ref="C31:G31"/>
    <mergeCell ref="J5:M5"/>
    <mergeCell ref="C40:G40"/>
    <mergeCell ref="F6:I6"/>
    <mergeCell ref="C56:G56"/>
    <mergeCell ref="C43:G43"/>
    <mergeCell ref="C46:G46"/>
    <mergeCell ref="C51:G51"/>
    <mergeCell ref="J6:M6"/>
    <mergeCell ref="C36:G36"/>
    <mergeCell ref="F5:I5"/>
    <mergeCell ref="C39:G39"/>
    <mergeCell ref="C52:G52"/>
    <mergeCell ref="C48:G48"/>
    <mergeCell ref="N5:Q5"/>
    <mergeCell ref="C32:G32"/>
    <mergeCell ref="C38:G38"/>
    <mergeCell ref="J4:M4"/>
    <mergeCell ref="C28:G28"/>
    <mergeCell ref="C57:G57"/>
    <mergeCell ref="C37:G37"/>
    <mergeCell ref="C53:G53"/>
  </mergeCells>
  <conditionalFormatting sqref="H11:H22">
    <cfRule type="dataBar" priority="1">
      <dataBar showValue="1">
        <cfvo type="num" val="0"/>
        <cfvo type="num" val="1"/>
        <color rgb="001F6FB2"/>
      </dataBar>
    </cfRule>
  </conditionalFormatting>
  <conditionalFormatting sqref="I11:I22">
    <cfRule type="expression" priority="2" dxfId="0">
      <formula>AND(I11&lt;&gt;"",I11&lt;0)</formula>
    </cfRule>
    <cfRule type="expression" priority="3" dxfId="1">
      <formula>AND(I11&lt;&gt;"",I11&gt;=0)</formula>
    </cfRule>
  </conditionalFormatting>
  <conditionalFormatting sqref="J28:J57">
    <cfRule type="dataBar" priority="4">
      <dataBar showValue="1">
        <cfvo type="num" val="0"/>
        <cfvo type="num" val="1"/>
        <color rgb="001F6FB2"/>
      </dataBar>
    </cfRule>
    <cfRule type="expression" priority="5" dxfId="0">
      <formula>AND(J28&lt;&gt;"",J28&lt;0.5)</formula>
    </cfRule>
  </conditionalFormatting>
  <pageMargins left="0.75" right="0.75" top="1" bottom="1" header="0.5" footer="0.5"/>
  <pageSetup orientation="landscape" fitToHeight="0" fitToWidth="1"/>
  <drawing xmlns:r="http://schemas.openxmlformats.org/officeDocument/2006/relationships" r:id="rId1"/>
</worksheet>
</file>

<file path=xl/worksheets/sheet4.xml><?xml version="1.0" encoding="utf-8"?>
<worksheet xmlns="http://schemas.openxmlformats.org/spreadsheetml/2006/main">
  <sheetPr>
    <tabColor rgb="001F7A4D"/>
    <outlinePr summaryBelow="1" summaryRight="1"/>
    <pageSetUpPr fitToPage="1"/>
  </sheetPr>
  <dimension ref="A1:Z139"/>
  <sheetViews>
    <sheetView showGridLines="0" tabSelected="0" zoomScale="90" workbookViewId="0">
      <selection activeCell="A1" sqref="A1"/>
    </sheetView>
  </sheetViews>
  <sheetFormatPr baseColWidth="8" defaultRowHeight="15"/>
  <cols>
    <col width="2"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hidden="1" width="11" customWidth="1" min="26" max="26"/>
  </cols>
  <sheetData>
    <row r="1" ht="30" customHeight="1">
      <c r="A1" s="6" t="n"/>
      <c r="B1" s="7">
        <f>"OPS readiness – report "&amp;TEXT(DATEVALUE('Thong tin'!$A$2),"d mmm yyyy")</f>
        <v/>
      </c>
      <c r="C1" s="6" t="n"/>
      <c r="D1" s="6" t="n"/>
      <c r="E1" s="6" t="n"/>
      <c r="F1" s="6" t="n"/>
      <c r="G1" s="6" t="n"/>
      <c r="H1" s="6" t="n"/>
      <c r="I1" s="6" t="n"/>
      <c r="J1" s="6" t="n"/>
      <c r="K1" s="6" t="n"/>
      <c r="L1" s="6" t="n"/>
      <c r="M1" s="6" t="n"/>
      <c r="N1" s="6" t="n"/>
      <c r="O1" s="6" t="n"/>
      <c r="P1" s="6" t="n"/>
      <c r="Q1" s="6" t="n"/>
      <c r="R1" s="6" t="n"/>
      <c r="S1" s="6" t="n"/>
      <c r="T1" s="6" t="n"/>
      <c r="U1" s="6" t="n"/>
      <c r="V1" s="6" t="n"/>
      <c r="W1" s="6" t="n"/>
      <c r="X1" s="6" t="n"/>
      <c r="Y1" s="6" t="n"/>
      <c r="Z1" s="6" t="n"/>
    </row>
    <row r="2">
      <c r="A2" s="6" t="n"/>
      <c r="B2" s="8" t="inlineStr">
        <is>
          <t>Procedure completion. The full register is the "Quy trinh" data sheet; this page lists the ones still open.</t>
        </is>
      </c>
      <c r="C2" s="6" t="n"/>
      <c r="D2" s="6" t="n"/>
      <c r="E2" s="6" t="n"/>
      <c r="F2" s="6" t="n"/>
      <c r="G2" s="6" t="n"/>
      <c r="H2" s="6" t="n"/>
      <c r="I2" s="6" t="n"/>
      <c r="J2" s="6" t="n"/>
      <c r="K2" s="6" t="n"/>
      <c r="L2" s="6" t="n"/>
      <c r="M2" s="6" t="n"/>
      <c r="N2" s="6" t="n"/>
      <c r="O2" s="6" t="n"/>
      <c r="P2" s="6" t="n"/>
      <c r="Q2" s="6" t="n"/>
      <c r="R2" s="6" t="n"/>
      <c r="S2" s="6" t="n"/>
      <c r="T2" s="6" t="n"/>
      <c r="U2" s="6" t="n"/>
      <c r="V2" s="6" t="n"/>
      <c r="W2" s="6" t="n"/>
      <c r="X2" s="6" t="n"/>
      <c r="Y2" s="6" t="n"/>
      <c r="Z2" s="6" t="n"/>
    </row>
    <row r="3">
      <c r="A3" s="6" t="n"/>
      <c r="B3" s="6" t="n"/>
      <c r="C3" s="6" t="n"/>
      <c r="D3" s="6" t="n"/>
      <c r="E3" s="6" t="n"/>
      <c r="F3" s="6" t="n"/>
      <c r="G3" s="6" t="n"/>
      <c r="H3" s="6" t="n"/>
      <c r="I3" s="6" t="n"/>
      <c r="J3" s="6" t="n"/>
      <c r="K3" s="6" t="n"/>
      <c r="L3" s="6" t="n"/>
      <c r="M3" s="6" t="n"/>
      <c r="N3" s="6" t="n"/>
      <c r="O3" s="6" t="n"/>
      <c r="P3" s="6" t="n"/>
      <c r="Q3" s="6" t="n"/>
      <c r="R3" s="6" t="n"/>
      <c r="S3" s="6" t="n"/>
      <c r="T3" s="6" t="n"/>
      <c r="U3" s="6" t="n"/>
      <c r="V3" s="6" t="n"/>
      <c r="W3" s="6" t="n"/>
      <c r="X3" s="6" t="n"/>
      <c r="Y3" s="6" t="n"/>
      <c r="Z3" s="6" t="n"/>
    </row>
    <row r="4" ht="16" customHeight="1">
      <c r="A4" s="6" t="n"/>
      <c r="B4" s="10">
        <f>"HSE procedures · "&amp;COUNTIFS('Quy trinh'!$B$2:$B$300,"HSE")&amp;" documents"</f>
        <v/>
      </c>
      <c r="C4" s="11" t="n"/>
      <c r="D4" s="11" t="n"/>
      <c r="E4" s="11" t="n"/>
      <c r="F4" s="12" t="n"/>
      <c r="G4" s="10">
        <f>"General operations procedures · "&amp;COUNTIFS('Quy trinh'!$B$2:$B$300,"General operations")&amp;" documents"</f>
        <v/>
      </c>
      <c r="H4" s="11" t="n"/>
      <c r="I4" s="11" t="n"/>
      <c r="J4" s="11" t="n"/>
      <c r="K4" s="12" t="n"/>
      <c r="L4" s="6" t="n"/>
      <c r="M4" s="6" t="n"/>
      <c r="N4" s="6" t="n"/>
      <c r="O4" s="6" t="n"/>
      <c r="P4" s="6" t="n"/>
      <c r="Q4" s="6" t="n"/>
      <c r="R4" s="6" t="n"/>
      <c r="S4" s="6" t="n"/>
      <c r="T4" s="6" t="n"/>
      <c r="U4" s="6" t="n"/>
      <c r="V4" s="6" t="n"/>
      <c r="W4" s="6" t="n"/>
      <c r="X4" s="6" t="n"/>
      <c r="Y4" s="6" t="n"/>
      <c r="Z4" s="6" t="n"/>
    </row>
    <row r="5" ht="34" customHeight="1">
      <c r="A5" s="6" t="n"/>
      <c r="B5" s="17">
        <f>AVERAGEIFS('Quy trinh'!$H$2:$H$300,'Quy trinh'!$B$2:$B$300,"HSE")/100</f>
        <v/>
      </c>
      <c r="C5" s="14" t="n"/>
      <c r="D5" s="14" t="n"/>
      <c r="E5" s="14" t="n"/>
      <c r="F5" s="15" t="n"/>
      <c r="G5" s="17">
        <f>AVERAGEIFS('Quy trinh'!$H$2:$H$300,'Quy trinh'!$B$2:$B$300,"General operations")/100</f>
        <v/>
      </c>
      <c r="H5" s="14" t="n"/>
      <c r="I5" s="14" t="n"/>
      <c r="J5" s="14" t="n"/>
      <c r="K5" s="15" t="n"/>
      <c r="L5" s="6" t="n"/>
      <c r="M5" s="6" t="n"/>
      <c r="N5" s="6" t="n"/>
      <c r="O5" s="6" t="n"/>
      <c r="P5" s="6" t="n"/>
      <c r="Q5" s="6" t="n"/>
      <c r="R5" s="6" t="n"/>
      <c r="S5" s="6" t="n"/>
      <c r="T5" s="6" t="n"/>
      <c r="U5" s="6" t="n"/>
      <c r="V5" s="6" t="n"/>
      <c r="W5" s="6" t="n"/>
      <c r="X5" s="6" t="n"/>
      <c r="Y5" s="6" t="n"/>
      <c r="Z5" s="6" t="n"/>
    </row>
    <row r="6" ht="30" customHeight="1">
      <c r="A6" s="6" t="n"/>
      <c r="B6" s="19">
        <f>COUNTIFS('Quy trinh'!$B$2:$B$300,"HSE",'Quy trinh'!$E$2:$E$300,"&lt;&gt;Yes")&amp;" not yet issued"</f>
        <v/>
      </c>
      <c r="C6" s="20" t="n"/>
      <c r="D6" s="20" t="n"/>
      <c r="E6" s="20" t="n"/>
      <c r="F6" s="21" t="n"/>
      <c r="G6" s="19">
        <f>COUNTIFS('Quy trinh'!$B$2:$B$300,"General operations",'Quy trinh'!$E$2:$E$300,"&lt;&gt;Yes")&amp;" not yet issued"</f>
        <v/>
      </c>
      <c r="H6" s="20" t="n"/>
      <c r="I6" s="20" t="n"/>
      <c r="J6" s="20" t="n"/>
      <c r="K6" s="21" t="n"/>
      <c r="L6" s="6" t="n"/>
      <c r="M6" s="6" t="n"/>
      <c r="N6" s="6" t="n"/>
      <c r="O6" s="6" t="n"/>
      <c r="P6" s="6" t="n"/>
      <c r="Q6" s="6" t="n"/>
      <c r="R6" s="6" t="n"/>
      <c r="S6" s="6" t="n"/>
      <c r="T6" s="6" t="n"/>
      <c r="U6" s="6" t="n"/>
      <c r="V6" s="6" t="n"/>
      <c r="W6" s="6" t="n"/>
      <c r="X6" s="6" t="n"/>
      <c r="Y6" s="6" t="n"/>
      <c r="Z6" s="6" t="n"/>
    </row>
    <row r="7">
      <c r="A7" s="6" t="n"/>
      <c r="B7" s="6" t="n"/>
      <c r="C7" s="6" t="n"/>
      <c r="D7" s="6" t="n"/>
      <c r="E7" s="6" t="n"/>
      <c r="F7" s="6" t="n"/>
      <c r="G7" s="6" t="n"/>
      <c r="H7" s="6" t="n"/>
      <c r="I7" s="6" t="n"/>
      <c r="J7" s="6" t="n"/>
      <c r="K7" s="6" t="n"/>
      <c r="L7" s="6" t="n"/>
      <c r="M7" s="6" t="n"/>
      <c r="N7" s="6" t="n"/>
      <c r="O7" s="6" t="n"/>
      <c r="P7" s="6" t="n"/>
      <c r="Q7" s="6" t="n"/>
      <c r="R7" s="6" t="n"/>
      <c r="S7" s="6" t="n"/>
      <c r="T7" s="6" t="n"/>
      <c r="U7" s="6" t="n"/>
      <c r="V7" s="6" t="n"/>
      <c r="W7" s="6" t="n"/>
      <c r="X7" s="6" t="n"/>
      <c r="Y7" s="6" t="n"/>
      <c r="Z7" s="6" t="n"/>
    </row>
    <row r="8">
      <c r="A8" s="6" t="n"/>
      <c r="B8" s="22" t="inlineStr">
        <is>
          <t>Open procedures (not yet issued)</t>
        </is>
      </c>
      <c r="C8" s="6" t="n"/>
      <c r="D8" s="6" t="n"/>
      <c r="E8" s="6" t="n"/>
      <c r="F8" s="6" t="n"/>
      <c r="G8" s="6" t="n"/>
      <c r="H8" s="6" t="n"/>
      <c r="I8" s="6" t="n"/>
      <c r="J8" s="6" t="n"/>
      <c r="K8" s="6" t="n"/>
      <c r="L8" s="6" t="n"/>
      <c r="M8" s="6" t="n"/>
      <c r="N8" s="6" t="n"/>
      <c r="O8" s="6" t="n"/>
      <c r="P8" s="6" t="n"/>
      <c r="Q8" s="6" t="n"/>
      <c r="R8" s="6" t="n"/>
      <c r="S8" s="6" t="n"/>
      <c r="T8" s="6" t="n"/>
      <c r="U8" s="6" t="n"/>
      <c r="V8" s="6" t="n"/>
      <c r="W8" s="6" t="n"/>
      <c r="X8" s="6" t="n"/>
      <c r="Y8" s="6" t="n"/>
      <c r="Z8" s="6" t="n"/>
    </row>
    <row r="9">
      <c r="A9" s="6" t="n"/>
      <c r="B9" s="23" t="inlineStr">
        <is>
          <t>In register order. Red: 0% · amber: in progress.</t>
        </is>
      </c>
      <c r="C9" s="6" t="n"/>
      <c r="D9" s="6" t="n"/>
      <c r="E9" s="6" t="n"/>
      <c r="F9" s="6" t="n"/>
      <c r="G9" s="6" t="n"/>
      <c r="H9" s="6" t="n"/>
      <c r="I9" s="6" t="n"/>
      <c r="J9" s="6" t="n"/>
      <c r="K9" s="6" t="n"/>
      <c r="L9" s="6" t="n"/>
      <c r="M9" s="6" t="n"/>
      <c r="N9" s="6" t="n"/>
      <c r="O9" s="6" t="n"/>
      <c r="P9" s="6" t="n"/>
      <c r="Q9" s="6" t="n"/>
      <c r="R9" s="6" t="n"/>
      <c r="S9" s="6" t="n"/>
      <c r="T9" s="6" t="n"/>
      <c r="U9" s="6" t="n"/>
      <c r="V9" s="6" t="n"/>
      <c r="W9" s="6" t="n"/>
      <c r="X9" s="6" t="n"/>
      <c r="Y9" s="6" t="n"/>
      <c r="Z9" s="6" t="n"/>
    </row>
    <row r="10">
      <c r="A10" s="6" t="n"/>
      <c r="B10" s="24" t="inlineStr">
        <is>
          <t>Code</t>
        </is>
      </c>
      <c r="C10" s="24" t="inlineStr">
        <is>
          <t>Document</t>
        </is>
      </c>
      <c r="D10" s="24" t="inlineStr"/>
      <c r="E10" s="24" t="inlineStr"/>
      <c r="F10" s="24" t="inlineStr"/>
      <c r="G10" s="24" t="inlineStr">
        <is>
          <t>Owner</t>
        </is>
      </c>
      <c r="H10" s="24" t="inlineStr"/>
      <c r="I10" s="24" t="inlineStr">
        <is>
          <t>Due</t>
        </is>
      </c>
      <c r="J10" s="24" t="inlineStr">
        <is>
          <t>Completion</t>
        </is>
      </c>
      <c r="K10" s="24" t="inlineStr">
        <is>
          <t>Remark</t>
        </is>
      </c>
      <c r="L10" s="24" t="inlineStr"/>
      <c r="M10" s="24" t="inlineStr"/>
      <c r="N10" s="24" t="inlineStr"/>
      <c r="O10" s="24" t="inlineStr"/>
      <c r="P10" s="24" t="inlineStr"/>
      <c r="Q10" s="6" t="n"/>
      <c r="R10" s="6" t="n"/>
      <c r="S10" s="6" t="n"/>
      <c r="T10" s="6" t="n"/>
      <c r="U10" s="6" t="n"/>
      <c r="V10" s="6" t="n"/>
      <c r="W10" s="6" t="n"/>
      <c r="X10" s="6" t="n"/>
      <c r="Y10" s="6" t="n"/>
      <c r="Z10" s="6" t="n"/>
    </row>
    <row r="11" ht="28" customHeight="1">
      <c r="A11" s="6" t="n"/>
      <c r="B11" s="36">
        <f>IF($Z11="","",IF(INDEX('Quy trinh'!$A$2:$A$300,$Z11)="","",INDEX('Quy trinh'!$A$2:$A$300,$Z11)))</f>
        <v/>
      </c>
      <c r="C11" s="37">
        <f>IF($Z11="","",IF(INDEX('Quy trinh'!$C$2:$C$300,$Z11)="","",INDEX('Quy trinh'!$C$2:$C$300,$Z11)))</f>
        <v/>
      </c>
      <c r="D11" s="33" t="n"/>
      <c r="E11" s="33" t="n"/>
      <c r="F11" s="33" t="n"/>
      <c r="G11" s="37">
        <f>IF($Z11="","",IF(INDEX('Quy trinh'!$F$2:$F$300,$Z11)="","",INDEX('Quy trinh'!$F$2:$F$300,$Z11)))</f>
        <v/>
      </c>
      <c r="H11" s="33" t="n"/>
      <c r="I11" s="36">
        <f>IF($Z11="","",IF(INDEX('Quy trinh'!$G$2:$G$300,$Z11)="","",INDEX('Quy trinh'!$G$2:$G$300,$Z11)))</f>
        <v/>
      </c>
      <c r="J11" s="38">
        <f>IF($Z11="","",INDEX('Quy trinh'!$H$2:$H$300,$Z11)/100)</f>
        <v/>
      </c>
      <c r="K11" s="37">
        <f>IF($Z11="","",IF(INDEX('Quy trinh'!$I$2:$I$300,$Z11)="","",INDEX('Quy trinh'!$I$2:$I$300,$Z11)))</f>
        <v/>
      </c>
      <c r="L11" s="33" t="n"/>
      <c r="M11" s="33" t="n"/>
      <c r="N11" s="33" t="n"/>
      <c r="O11" s="33" t="n"/>
      <c r="P11" s="33" t="n"/>
      <c r="Q11" s="6" t="n"/>
      <c r="R11" s="6" t="n"/>
      <c r="S11" s="6" t="n"/>
      <c r="T11" s="6" t="n"/>
      <c r="U11" s="6" t="n"/>
      <c r="V11" s="6" t="n"/>
      <c r="W11" s="6" t="n"/>
      <c r="X11" s="6" t="n"/>
      <c r="Y11" s="6" t="n"/>
      <c r="Z11" s="39">
        <f t="array" ref="Z11">IFERROR(SMALL(IF(('Quy trinh'!$E$2:$E$300&lt;&gt;"Yes")*('Quy trinh'!$C$2:$C$300&lt;&gt;""),ROW('Quy trinh'!$A$2:$A$300)-1),1),"")</f>
        <v/>
      </c>
    </row>
    <row r="12" ht="28" customHeight="1">
      <c r="A12" s="6" t="n"/>
      <c r="B12" s="36">
        <f>IF($Z12="","",IF(INDEX('Quy trinh'!$A$2:$A$300,$Z12)="","",INDEX('Quy trinh'!$A$2:$A$300,$Z12)))</f>
        <v/>
      </c>
      <c r="C12" s="37">
        <f>IF($Z12="","",IF(INDEX('Quy trinh'!$C$2:$C$300,$Z12)="","",INDEX('Quy trinh'!$C$2:$C$300,$Z12)))</f>
        <v/>
      </c>
      <c r="D12" s="33" t="n"/>
      <c r="E12" s="33" t="n"/>
      <c r="F12" s="33" t="n"/>
      <c r="G12" s="37">
        <f>IF($Z12="","",IF(INDEX('Quy trinh'!$F$2:$F$300,$Z12)="","",INDEX('Quy trinh'!$F$2:$F$300,$Z12)))</f>
        <v/>
      </c>
      <c r="H12" s="33" t="n"/>
      <c r="I12" s="36">
        <f>IF($Z12="","",IF(INDEX('Quy trinh'!$G$2:$G$300,$Z12)="","",INDEX('Quy trinh'!$G$2:$G$300,$Z12)))</f>
        <v/>
      </c>
      <c r="J12" s="38">
        <f>IF($Z12="","",INDEX('Quy trinh'!$H$2:$H$300,$Z12)/100)</f>
        <v/>
      </c>
      <c r="K12" s="37">
        <f>IF($Z12="","",IF(INDEX('Quy trinh'!$I$2:$I$300,$Z12)="","",INDEX('Quy trinh'!$I$2:$I$300,$Z12)))</f>
        <v/>
      </c>
      <c r="L12" s="33" t="n"/>
      <c r="M12" s="33" t="n"/>
      <c r="N12" s="33" t="n"/>
      <c r="O12" s="33" t="n"/>
      <c r="P12" s="33" t="n"/>
      <c r="Q12" s="6" t="n"/>
      <c r="R12" s="6" t="n"/>
      <c r="S12" s="6" t="n"/>
      <c r="T12" s="6" t="n"/>
      <c r="U12" s="6" t="n"/>
      <c r="V12" s="6" t="n"/>
      <c r="W12" s="6" t="n"/>
      <c r="X12" s="6" t="n"/>
      <c r="Y12" s="6" t="n"/>
      <c r="Z12" s="39">
        <f t="array" ref="Z12">IFERROR(SMALL(IF(('Quy trinh'!$E$2:$E$300&lt;&gt;"Yes")*('Quy trinh'!$C$2:$C$300&lt;&gt;""),ROW('Quy trinh'!$A$2:$A$300)-1),2),"")</f>
        <v/>
      </c>
    </row>
    <row r="13" ht="28" customHeight="1">
      <c r="A13" s="6" t="n"/>
      <c r="B13" s="36">
        <f>IF($Z13="","",IF(INDEX('Quy trinh'!$A$2:$A$300,$Z13)="","",INDEX('Quy trinh'!$A$2:$A$300,$Z13)))</f>
        <v/>
      </c>
      <c r="C13" s="37">
        <f>IF($Z13="","",IF(INDEX('Quy trinh'!$C$2:$C$300,$Z13)="","",INDEX('Quy trinh'!$C$2:$C$300,$Z13)))</f>
        <v/>
      </c>
      <c r="D13" s="33" t="n"/>
      <c r="E13" s="33" t="n"/>
      <c r="F13" s="33" t="n"/>
      <c r="G13" s="37">
        <f>IF($Z13="","",IF(INDEX('Quy trinh'!$F$2:$F$300,$Z13)="","",INDEX('Quy trinh'!$F$2:$F$300,$Z13)))</f>
        <v/>
      </c>
      <c r="H13" s="33" t="n"/>
      <c r="I13" s="36">
        <f>IF($Z13="","",IF(INDEX('Quy trinh'!$G$2:$G$300,$Z13)="","",INDEX('Quy trinh'!$G$2:$G$300,$Z13)))</f>
        <v/>
      </c>
      <c r="J13" s="38">
        <f>IF($Z13="","",INDEX('Quy trinh'!$H$2:$H$300,$Z13)/100)</f>
        <v/>
      </c>
      <c r="K13" s="37">
        <f>IF($Z13="","",IF(INDEX('Quy trinh'!$I$2:$I$300,$Z13)="","",INDEX('Quy trinh'!$I$2:$I$300,$Z13)))</f>
        <v/>
      </c>
      <c r="L13" s="33" t="n"/>
      <c r="M13" s="33" t="n"/>
      <c r="N13" s="33" t="n"/>
      <c r="O13" s="33" t="n"/>
      <c r="P13" s="33" t="n"/>
      <c r="Q13" s="6" t="n"/>
      <c r="R13" s="6" t="n"/>
      <c r="S13" s="6" t="n"/>
      <c r="T13" s="6" t="n"/>
      <c r="U13" s="6" t="n"/>
      <c r="V13" s="6" t="n"/>
      <c r="W13" s="6" t="n"/>
      <c r="X13" s="6" t="n"/>
      <c r="Y13" s="6" t="n"/>
      <c r="Z13" s="39">
        <f t="array" ref="Z13">IFERROR(SMALL(IF(('Quy trinh'!$E$2:$E$300&lt;&gt;"Yes")*('Quy trinh'!$C$2:$C$300&lt;&gt;""),ROW('Quy trinh'!$A$2:$A$300)-1),3),"")</f>
        <v/>
      </c>
    </row>
    <row r="14" ht="28" customHeight="1">
      <c r="A14" s="6" t="n"/>
      <c r="B14" s="36">
        <f>IF($Z14="","",IF(INDEX('Quy trinh'!$A$2:$A$300,$Z14)="","",INDEX('Quy trinh'!$A$2:$A$300,$Z14)))</f>
        <v/>
      </c>
      <c r="C14" s="37">
        <f>IF($Z14="","",IF(INDEX('Quy trinh'!$C$2:$C$300,$Z14)="","",INDEX('Quy trinh'!$C$2:$C$300,$Z14)))</f>
        <v/>
      </c>
      <c r="D14" s="33" t="n"/>
      <c r="E14" s="33" t="n"/>
      <c r="F14" s="33" t="n"/>
      <c r="G14" s="37">
        <f>IF($Z14="","",IF(INDEX('Quy trinh'!$F$2:$F$300,$Z14)="","",INDEX('Quy trinh'!$F$2:$F$300,$Z14)))</f>
        <v/>
      </c>
      <c r="H14" s="33" t="n"/>
      <c r="I14" s="36">
        <f>IF($Z14="","",IF(INDEX('Quy trinh'!$G$2:$G$300,$Z14)="","",INDEX('Quy trinh'!$G$2:$G$300,$Z14)))</f>
        <v/>
      </c>
      <c r="J14" s="38">
        <f>IF($Z14="","",INDEX('Quy trinh'!$H$2:$H$300,$Z14)/100)</f>
        <v/>
      </c>
      <c r="K14" s="37">
        <f>IF($Z14="","",IF(INDEX('Quy trinh'!$I$2:$I$300,$Z14)="","",INDEX('Quy trinh'!$I$2:$I$300,$Z14)))</f>
        <v/>
      </c>
      <c r="L14" s="33" t="n"/>
      <c r="M14" s="33" t="n"/>
      <c r="N14" s="33" t="n"/>
      <c r="O14" s="33" t="n"/>
      <c r="P14" s="33" t="n"/>
      <c r="Q14" s="6" t="n"/>
      <c r="R14" s="6" t="n"/>
      <c r="S14" s="6" t="n"/>
      <c r="T14" s="6" t="n"/>
      <c r="U14" s="6" t="n"/>
      <c r="V14" s="6" t="n"/>
      <c r="W14" s="6" t="n"/>
      <c r="X14" s="6" t="n"/>
      <c r="Y14" s="6" t="n"/>
      <c r="Z14" s="39">
        <f t="array" ref="Z14">IFERROR(SMALL(IF(('Quy trinh'!$E$2:$E$300&lt;&gt;"Yes")*('Quy trinh'!$C$2:$C$300&lt;&gt;""),ROW('Quy trinh'!$A$2:$A$300)-1),4),"")</f>
        <v/>
      </c>
    </row>
    <row r="15" ht="28" customHeight="1">
      <c r="A15" s="6" t="n"/>
      <c r="B15" s="36">
        <f>IF($Z15="","",IF(INDEX('Quy trinh'!$A$2:$A$300,$Z15)="","",INDEX('Quy trinh'!$A$2:$A$300,$Z15)))</f>
        <v/>
      </c>
      <c r="C15" s="37">
        <f>IF($Z15="","",IF(INDEX('Quy trinh'!$C$2:$C$300,$Z15)="","",INDEX('Quy trinh'!$C$2:$C$300,$Z15)))</f>
        <v/>
      </c>
      <c r="D15" s="33" t="n"/>
      <c r="E15" s="33" t="n"/>
      <c r="F15" s="33" t="n"/>
      <c r="G15" s="37">
        <f>IF($Z15="","",IF(INDEX('Quy trinh'!$F$2:$F$300,$Z15)="","",INDEX('Quy trinh'!$F$2:$F$300,$Z15)))</f>
        <v/>
      </c>
      <c r="H15" s="33" t="n"/>
      <c r="I15" s="36">
        <f>IF($Z15="","",IF(INDEX('Quy trinh'!$G$2:$G$300,$Z15)="","",INDEX('Quy trinh'!$G$2:$G$300,$Z15)))</f>
        <v/>
      </c>
      <c r="J15" s="38">
        <f>IF($Z15="","",INDEX('Quy trinh'!$H$2:$H$300,$Z15)/100)</f>
        <v/>
      </c>
      <c r="K15" s="37">
        <f>IF($Z15="","",IF(INDEX('Quy trinh'!$I$2:$I$300,$Z15)="","",INDEX('Quy trinh'!$I$2:$I$300,$Z15)))</f>
        <v/>
      </c>
      <c r="L15" s="33" t="n"/>
      <c r="M15" s="33" t="n"/>
      <c r="N15" s="33" t="n"/>
      <c r="O15" s="33" t="n"/>
      <c r="P15" s="33" t="n"/>
      <c r="Q15" s="6" t="n"/>
      <c r="R15" s="6" t="n"/>
      <c r="S15" s="6" t="n"/>
      <c r="T15" s="6" t="n"/>
      <c r="U15" s="6" t="n"/>
      <c r="V15" s="6" t="n"/>
      <c r="W15" s="6" t="n"/>
      <c r="X15" s="6" t="n"/>
      <c r="Y15" s="6" t="n"/>
      <c r="Z15" s="39">
        <f t="array" ref="Z15">IFERROR(SMALL(IF(('Quy trinh'!$E$2:$E$300&lt;&gt;"Yes")*('Quy trinh'!$C$2:$C$300&lt;&gt;""),ROW('Quy trinh'!$A$2:$A$300)-1),5),"")</f>
        <v/>
      </c>
    </row>
    <row r="16" ht="28" customHeight="1">
      <c r="A16" s="6" t="n"/>
      <c r="B16" s="36">
        <f>IF($Z16="","",IF(INDEX('Quy trinh'!$A$2:$A$300,$Z16)="","",INDEX('Quy trinh'!$A$2:$A$300,$Z16)))</f>
        <v/>
      </c>
      <c r="C16" s="37">
        <f>IF($Z16="","",IF(INDEX('Quy trinh'!$C$2:$C$300,$Z16)="","",INDEX('Quy trinh'!$C$2:$C$300,$Z16)))</f>
        <v/>
      </c>
      <c r="D16" s="33" t="n"/>
      <c r="E16" s="33" t="n"/>
      <c r="F16" s="33" t="n"/>
      <c r="G16" s="37">
        <f>IF($Z16="","",IF(INDEX('Quy trinh'!$F$2:$F$300,$Z16)="","",INDEX('Quy trinh'!$F$2:$F$300,$Z16)))</f>
        <v/>
      </c>
      <c r="H16" s="33" t="n"/>
      <c r="I16" s="36">
        <f>IF($Z16="","",IF(INDEX('Quy trinh'!$G$2:$G$300,$Z16)="","",INDEX('Quy trinh'!$G$2:$G$300,$Z16)))</f>
        <v/>
      </c>
      <c r="J16" s="38">
        <f>IF($Z16="","",INDEX('Quy trinh'!$H$2:$H$300,$Z16)/100)</f>
        <v/>
      </c>
      <c r="K16" s="37">
        <f>IF($Z16="","",IF(INDEX('Quy trinh'!$I$2:$I$300,$Z16)="","",INDEX('Quy trinh'!$I$2:$I$300,$Z16)))</f>
        <v/>
      </c>
      <c r="L16" s="33" t="n"/>
      <c r="M16" s="33" t="n"/>
      <c r="N16" s="33" t="n"/>
      <c r="O16" s="33" t="n"/>
      <c r="P16" s="33" t="n"/>
      <c r="Q16" s="6" t="n"/>
      <c r="R16" s="6" t="n"/>
      <c r="S16" s="6" t="n"/>
      <c r="T16" s="6" t="n"/>
      <c r="U16" s="6" t="n"/>
      <c r="V16" s="6" t="n"/>
      <c r="W16" s="6" t="n"/>
      <c r="X16" s="6" t="n"/>
      <c r="Y16" s="6" t="n"/>
      <c r="Z16" s="39">
        <f t="array" ref="Z16">IFERROR(SMALL(IF(('Quy trinh'!$E$2:$E$300&lt;&gt;"Yes")*('Quy trinh'!$C$2:$C$300&lt;&gt;""),ROW('Quy trinh'!$A$2:$A$300)-1),6),"")</f>
        <v/>
      </c>
    </row>
    <row r="17" ht="28" customHeight="1">
      <c r="A17" s="6" t="n"/>
      <c r="B17" s="36">
        <f>IF($Z17="","",IF(INDEX('Quy trinh'!$A$2:$A$300,$Z17)="","",INDEX('Quy trinh'!$A$2:$A$300,$Z17)))</f>
        <v/>
      </c>
      <c r="C17" s="37">
        <f>IF($Z17="","",IF(INDEX('Quy trinh'!$C$2:$C$300,$Z17)="","",INDEX('Quy trinh'!$C$2:$C$300,$Z17)))</f>
        <v/>
      </c>
      <c r="D17" s="33" t="n"/>
      <c r="E17" s="33" t="n"/>
      <c r="F17" s="33" t="n"/>
      <c r="G17" s="37">
        <f>IF($Z17="","",IF(INDEX('Quy trinh'!$F$2:$F$300,$Z17)="","",INDEX('Quy trinh'!$F$2:$F$300,$Z17)))</f>
        <v/>
      </c>
      <c r="H17" s="33" t="n"/>
      <c r="I17" s="36">
        <f>IF($Z17="","",IF(INDEX('Quy trinh'!$G$2:$G$300,$Z17)="","",INDEX('Quy trinh'!$G$2:$G$300,$Z17)))</f>
        <v/>
      </c>
      <c r="J17" s="38">
        <f>IF($Z17="","",INDEX('Quy trinh'!$H$2:$H$300,$Z17)/100)</f>
        <v/>
      </c>
      <c r="K17" s="37">
        <f>IF($Z17="","",IF(INDEX('Quy trinh'!$I$2:$I$300,$Z17)="","",INDEX('Quy trinh'!$I$2:$I$300,$Z17)))</f>
        <v/>
      </c>
      <c r="L17" s="33" t="n"/>
      <c r="M17" s="33" t="n"/>
      <c r="N17" s="33" t="n"/>
      <c r="O17" s="33" t="n"/>
      <c r="P17" s="33" t="n"/>
      <c r="Q17" s="6" t="n"/>
      <c r="R17" s="6" t="n"/>
      <c r="S17" s="6" t="n"/>
      <c r="T17" s="6" t="n"/>
      <c r="U17" s="6" t="n"/>
      <c r="V17" s="6" t="n"/>
      <c r="W17" s="6" t="n"/>
      <c r="X17" s="6" t="n"/>
      <c r="Y17" s="6" t="n"/>
      <c r="Z17" s="39">
        <f t="array" ref="Z17">IFERROR(SMALL(IF(('Quy trinh'!$E$2:$E$300&lt;&gt;"Yes")*('Quy trinh'!$C$2:$C$300&lt;&gt;""),ROW('Quy trinh'!$A$2:$A$300)-1),7),"")</f>
        <v/>
      </c>
    </row>
    <row r="18" ht="28" customHeight="1">
      <c r="A18" s="6" t="n"/>
      <c r="B18" s="36">
        <f>IF($Z18="","",IF(INDEX('Quy trinh'!$A$2:$A$300,$Z18)="","",INDEX('Quy trinh'!$A$2:$A$300,$Z18)))</f>
        <v/>
      </c>
      <c r="C18" s="37">
        <f>IF($Z18="","",IF(INDEX('Quy trinh'!$C$2:$C$300,$Z18)="","",INDEX('Quy trinh'!$C$2:$C$300,$Z18)))</f>
        <v/>
      </c>
      <c r="D18" s="33" t="n"/>
      <c r="E18" s="33" t="n"/>
      <c r="F18" s="33" t="n"/>
      <c r="G18" s="37">
        <f>IF($Z18="","",IF(INDEX('Quy trinh'!$F$2:$F$300,$Z18)="","",INDEX('Quy trinh'!$F$2:$F$300,$Z18)))</f>
        <v/>
      </c>
      <c r="H18" s="33" t="n"/>
      <c r="I18" s="36">
        <f>IF($Z18="","",IF(INDEX('Quy trinh'!$G$2:$G$300,$Z18)="","",INDEX('Quy trinh'!$G$2:$G$300,$Z18)))</f>
        <v/>
      </c>
      <c r="J18" s="38">
        <f>IF($Z18="","",INDEX('Quy trinh'!$H$2:$H$300,$Z18)/100)</f>
        <v/>
      </c>
      <c r="K18" s="37">
        <f>IF($Z18="","",IF(INDEX('Quy trinh'!$I$2:$I$300,$Z18)="","",INDEX('Quy trinh'!$I$2:$I$300,$Z18)))</f>
        <v/>
      </c>
      <c r="L18" s="33" t="n"/>
      <c r="M18" s="33" t="n"/>
      <c r="N18" s="33" t="n"/>
      <c r="O18" s="33" t="n"/>
      <c r="P18" s="33" t="n"/>
      <c r="Q18" s="6" t="n"/>
      <c r="R18" s="6" t="n"/>
      <c r="S18" s="6" t="n"/>
      <c r="T18" s="6" t="n"/>
      <c r="U18" s="6" t="n"/>
      <c r="V18" s="6" t="n"/>
      <c r="W18" s="6" t="n"/>
      <c r="X18" s="6" t="n"/>
      <c r="Y18" s="6" t="n"/>
      <c r="Z18" s="39">
        <f t="array" ref="Z18">IFERROR(SMALL(IF(('Quy trinh'!$E$2:$E$300&lt;&gt;"Yes")*('Quy trinh'!$C$2:$C$300&lt;&gt;""),ROW('Quy trinh'!$A$2:$A$300)-1),8),"")</f>
        <v/>
      </c>
    </row>
    <row r="19" ht="28" customHeight="1">
      <c r="A19" s="6" t="n"/>
      <c r="B19" s="36">
        <f>IF($Z19="","",IF(INDEX('Quy trinh'!$A$2:$A$300,$Z19)="","",INDEX('Quy trinh'!$A$2:$A$300,$Z19)))</f>
        <v/>
      </c>
      <c r="C19" s="37">
        <f>IF($Z19="","",IF(INDEX('Quy trinh'!$C$2:$C$300,$Z19)="","",INDEX('Quy trinh'!$C$2:$C$300,$Z19)))</f>
        <v/>
      </c>
      <c r="D19" s="33" t="n"/>
      <c r="E19" s="33" t="n"/>
      <c r="F19" s="33" t="n"/>
      <c r="G19" s="37">
        <f>IF($Z19="","",IF(INDEX('Quy trinh'!$F$2:$F$300,$Z19)="","",INDEX('Quy trinh'!$F$2:$F$300,$Z19)))</f>
        <v/>
      </c>
      <c r="H19" s="33" t="n"/>
      <c r="I19" s="36">
        <f>IF($Z19="","",IF(INDEX('Quy trinh'!$G$2:$G$300,$Z19)="","",INDEX('Quy trinh'!$G$2:$G$300,$Z19)))</f>
        <v/>
      </c>
      <c r="J19" s="38">
        <f>IF($Z19="","",INDEX('Quy trinh'!$H$2:$H$300,$Z19)/100)</f>
        <v/>
      </c>
      <c r="K19" s="37">
        <f>IF($Z19="","",IF(INDEX('Quy trinh'!$I$2:$I$300,$Z19)="","",INDEX('Quy trinh'!$I$2:$I$300,$Z19)))</f>
        <v/>
      </c>
      <c r="L19" s="33" t="n"/>
      <c r="M19" s="33" t="n"/>
      <c r="N19" s="33" t="n"/>
      <c r="O19" s="33" t="n"/>
      <c r="P19" s="33" t="n"/>
      <c r="Q19" s="6" t="n"/>
      <c r="R19" s="6" t="n"/>
      <c r="S19" s="6" t="n"/>
      <c r="T19" s="6" t="n"/>
      <c r="U19" s="6" t="n"/>
      <c r="V19" s="6" t="n"/>
      <c r="W19" s="6" t="n"/>
      <c r="X19" s="6" t="n"/>
      <c r="Y19" s="6" t="n"/>
      <c r="Z19" s="39">
        <f t="array" ref="Z19">IFERROR(SMALL(IF(('Quy trinh'!$E$2:$E$300&lt;&gt;"Yes")*('Quy trinh'!$C$2:$C$300&lt;&gt;""),ROW('Quy trinh'!$A$2:$A$300)-1),9),"")</f>
        <v/>
      </c>
    </row>
    <row r="20" ht="28" customHeight="1">
      <c r="A20" s="6" t="n"/>
      <c r="B20" s="36">
        <f>IF($Z20="","",IF(INDEX('Quy trinh'!$A$2:$A$300,$Z20)="","",INDEX('Quy trinh'!$A$2:$A$300,$Z20)))</f>
        <v/>
      </c>
      <c r="C20" s="37">
        <f>IF($Z20="","",IF(INDEX('Quy trinh'!$C$2:$C$300,$Z20)="","",INDEX('Quy trinh'!$C$2:$C$300,$Z20)))</f>
        <v/>
      </c>
      <c r="D20" s="33" t="n"/>
      <c r="E20" s="33" t="n"/>
      <c r="F20" s="33" t="n"/>
      <c r="G20" s="37">
        <f>IF($Z20="","",IF(INDEX('Quy trinh'!$F$2:$F$300,$Z20)="","",INDEX('Quy trinh'!$F$2:$F$300,$Z20)))</f>
        <v/>
      </c>
      <c r="H20" s="33" t="n"/>
      <c r="I20" s="36">
        <f>IF($Z20="","",IF(INDEX('Quy trinh'!$G$2:$G$300,$Z20)="","",INDEX('Quy trinh'!$G$2:$G$300,$Z20)))</f>
        <v/>
      </c>
      <c r="J20" s="38">
        <f>IF($Z20="","",INDEX('Quy trinh'!$H$2:$H$300,$Z20)/100)</f>
        <v/>
      </c>
      <c r="K20" s="37">
        <f>IF($Z20="","",IF(INDEX('Quy trinh'!$I$2:$I$300,$Z20)="","",INDEX('Quy trinh'!$I$2:$I$300,$Z20)))</f>
        <v/>
      </c>
      <c r="L20" s="33" t="n"/>
      <c r="M20" s="33" t="n"/>
      <c r="N20" s="33" t="n"/>
      <c r="O20" s="33" t="n"/>
      <c r="P20" s="33" t="n"/>
      <c r="Q20" s="6" t="n"/>
      <c r="R20" s="6" t="n"/>
      <c r="S20" s="6" t="n"/>
      <c r="T20" s="6" t="n"/>
      <c r="U20" s="6" t="n"/>
      <c r="V20" s="6" t="n"/>
      <c r="W20" s="6" t="n"/>
      <c r="X20" s="6" t="n"/>
      <c r="Y20" s="6" t="n"/>
      <c r="Z20" s="39">
        <f t="array" ref="Z20">IFERROR(SMALL(IF(('Quy trinh'!$E$2:$E$300&lt;&gt;"Yes")*('Quy trinh'!$C$2:$C$300&lt;&gt;""),ROW('Quy trinh'!$A$2:$A$300)-1),10),"")</f>
        <v/>
      </c>
    </row>
    <row r="21" ht="28" customHeight="1">
      <c r="A21" s="6" t="n"/>
      <c r="B21" s="36">
        <f>IF($Z21="","",IF(INDEX('Quy trinh'!$A$2:$A$300,$Z21)="","",INDEX('Quy trinh'!$A$2:$A$300,$Z21)))</f>
        <v/>
      </c>
      <c r="C21" s="37">
        <f>IF($Z21="","",IF(INDEX('Quy trinh'!$C$2:$C$300,$Z21)="","",INDEX('Quy trinh'!$C$2:$C$300,$Z21)))</f>
        <v/>
      </c>
      <c r="D21" s="33" t="n"/>
      <c r="E21" s="33" t="n"/>
      <c r="F21" s="33" t="n"/>
      <c r="G21" s="37">
        <f>IF($Z21="","",IF(INDEX('Quy trinh'!$F$2:$F$300,$Z21)="","",INDEX('Quy trinh'!$F$2:$F$300,$Z21)))</f>
        <v/>
      </c>
      <c r="H21" s="33" t="n"/>
      <c r="I21" s="36">
        <f>IF($Z21="","",IF(INDEX('Quy trinh'!$G$2:$G$300,$Z21)="","",INDEX('Quy trinh'!$G$2:$G$300,$Z21)))</f>
        <v/>
      </c>
      <c r="J21" s="38">
        <f>IF($Z21="","",INDEX('Quy trinh'!$H$2:$H$300,$Z21)/100)</f>
        <v/>
      </c>
      <c r="K21" s="37">
        <f>IF($Z21="","",IF(INDEX('Quy trinh'!$I$2:$I$300,$Z21)="","",INDEX('Quy trinh'!$I$2:$I$300,$Z21)))</f>
        <v/>
      </c>
      <c r="L21" s="33" t="n"/>
      <c r="M21" s="33" t="n"/>
      <c r="N21" s="33" t="n"/>
      <c r="O21" s="33" t="n"/>
      <c r="P21" s="33" t="n"/>
      <c r="Q21" s="6" t="n"/>
      <c r="R21" s="6" t="n"/>
      <c r="S21" s="6" t="n"/>
      <c r="T21" s="6" t="n"/>
      <c r="U21" s="6" t="n"/>
      <c r="V21" s="6" t="n"/>
      <c r="W21" s="6" t="n"/>
      <c r="X21" s="6" t="n"/>
      <c r="Y21" s="6" t="n"/>
      <c r="Z21" s="39">
        <f t="array" ref="Z21">IFERROR(SMALL(IF(('Quy trinh'!$E$2:$E$300&lt;&gt;"Yes")*('Quy trinh'!$C$2:$C$300&lt;&gt;""),ROW('Quy trinh'!$A$2:$A$300)-1),11),"")</f>
        <v/>
      </c>
    </row>
    <row r="22" ht="28" customHeight="1">
      <c r="A22" s="6" t="n"/>
      <c r="B22" s="36">
        <f>IF($Z22="","",IF(INDEX('Quy trinh'!$A$2:$A$300,$Z22)="","",INDEX('Quy trinh'!$A$2:$A$300,$Z22)))</f>
        <v/>
      </c>
      <c r="C22" s="37">
        <f>IF($Z22="","",IF(INDEX('Quy trinh'!$C$2:$C$300,$Z22)="","",INDEX('Quy trinh'!$C$2:$C$300,$Z22)))</f>
        <v/>
      </c>
      <c r="D22" s="33" t="n"/>
      <c r="E22" s="33" t="n"/>
      <c r="F22" s="33" t="n"/>
      <c r="G22" s="37">
        <f>IF($Z22="","",IF(INDEX('Quy trinh'!$F$2:$F$300,$Z22)="","",INDEX('Quy trinh'!$F$2:$F$300,$Z22)))</f>
        <v/>
      </c>
      <c r="H22" s="33" t="n"/>
      <c r="I22" s="36">
        <f>IF($Z22="","",IF(INDEX('Quy trinh'!$G$2:$G$300,$Z22)="","",INDEX('Quy trinh'!$G$2:$G$300,$Z22)))</f>
        <v/>
      </c>
      <c r="J22" s="38">
        <f>IF($Z22="","",INDEX('Quy trinh'!$H$2:$H$300,$Z22)/100)</f>
        <v/>
      </c>
      <c r="K22" s="37">
        <f>IF($Z22="","",IF(INDEX('Quy trinh'!$I$2:$I$300,$Z22)="","",INDEX('Quy trinh'!$I$2:$I$300,$Z22)))</f>
        <v/>
      </c>
      <c r="L22" s="33" t="n"/>
      <c r="M22" s="33" t="n"/>
      <c r="N22" s="33" t="n"/>
      <c r="O22" s="33" t="n"/>
      <c r="P22" s="33" t="n"/>
      <c r="Q22" s="6" t="n"/>
      <c r="R22" s="6" t="n"/>
      <c r="S22" s="6" t="n"/>
      <c r="T22" s="6" t="n"/>
      <c r="U22" s="6" t="n"/>
      <c r="V22" s="6" t="n"/>
      <c r="W22" s="6" t="n"/>
      <c r="X22" s="6" t="n"/>
      <c r="Y22" s="6" t="n"/>
      <c r="Z22" s="39">
        <f t="array" ref="Z22">IFERROR(SMALL(IF(('Quy trinh'!$E$2:$E$300&lt;&gt;"Yes")*('Quy trinh'!$C$2:$C$300&lt;&gt;""),ROW('Quy trinh'!$A$2:$A$300)-1),12),"")</f>
        <v/>
      </c>
    </row>
    <row r="23" ht="28" customHeight="1">
      <c r="A23" s="6" t="n"/>
      <c r="B23" s="36">
        <f>IF($Z23="","",IF(INDEX('Quy trinh'!$A$2:$A$300,$Z23)="","",INDEX('Quy trinh'!$A$2:$A$300,$Z23)))</f>
        <v/>
      </c>
      <c r="C23" s="37">
        <f>IF($Z23="","",IF(INDEX('Quy trinh'!$C$2:$C$300,$Z23)="","",INDEX('Quy trinh'!$C$2:$C$300,$Z23)))</f>
        <v/>
      </c>
      <c r="D23" s="33" t="n"/>
      <c r="E23" s="33" t="n"/>
      <c r="F23" s="33" t="n"/>
      <c r="G23" s="37">
        <f>IF($Z23="","",IF(INDEX('Quy trinh'!$F$2:$F$300,$Z23)="","",INDEX('Quy trinh'!$F$2:$F$300,$Z23)))</f>
        <v/>
      </c>
      <c r="H23" s="33" t="n"/>
      <c r="I23" s="36">
        <f>IF($Z23="","",IF(INDEX('Quy trinh'!$G$2:$G$300,$Z23)="","",INDEX('Quy trinh'!$G$2:$G$300,$Z23)))</f>
        <v/>
      </c>
      <c r="J23" s="38">
        <f>IF($Z23="","",INDEX('Quy trinh'!$H$2:$H$300,$Z23)/100)</f>
        <v/>
      </c>
      <c r="K23" s="37">
        <f>IF($Z23="","",IF(INDEX('Quy trinh'!$I$2:$I$300,$Z23)="","",INDEX('Quy trinh'!$I$2:$I$300,$Z23)))</f>
        <v/>
      </c>
      <c r="L23" s="33" t="n"/>
      <c r="M23" s="33" t="n"/>
      <c r="N23" s="33" t="n"/>
      <c r="O23" s="33" t="n"/>
      <c r="P23" s="33" t="n"/>
      <c r="Q23" s="6" t="n"/>
      <c r="R23" s="6" t="n"/>
      <c r="S23" s="6" t="n"/>
      <c r="T23" s="6" t="n"/>
      <c r="U23" s="6" t="n"/>
      <c r="V23" s="6" t="n"/>
      <c r="W23" s="6" t="n"/>
      <c r="X23" s="6" t="n"/>
      <c r="Y23" s="6" t="n"/>
      <c r="Z23" s="39">
        <f t="array" ref="Z23">IFERROR(SMALL(IF(('Quy trinh'!$E$2:$E$300&lt;&gt;"Yes")*('Quy trinh'!$C$2:$C$300&lt;&gt;""),ROW('Quy trinh'!$A$2:$A$300)-1),13),"")</f>
        <v/>
      </c>
    </row>
    <row r="24" ht="28" customHeight="1">
      <c r="A24" s="6" t="n"/>
      <c r="B24" s="36">
        <f>IF($Z24="","",IF(INDEX('Quy trinh'!$A$2:$A$300,$Z24)="","",INDEX('Quy trinh'!$A$2:$A$300,$Z24)))</f>
        <v/>
      </c>
      <c r="C24" s="37">
        <f>IF($Z24="","",IF(INDEX('Quy trinh'!$C$2:$C$300,$Z24)="","",INDEX('Quy trinh'!$C$2:$C$300,$Z24)))</f>
        <v/>
      </c>
      <c r="D24" s="33" t="n"/>
      <c r="E24" s="33" t="n"/>
      <c r="F24" s="33" t="n"/>
      <c r="G24" s="37">
        <f>IF($Z24="","",IF(INDEX('Quy trinh'!$F$2:$F$300,$Z24)="","",INDEX('Quy trinh'!$F$2:$F$300,$Z24)))</f>
        <v/>
      </c>
      <c r="H24" s="33" t="n"/>
      <c r="I24" s="36">
        <f>IF($Z24="","",IF(INDEX('Quy trinh'!$G$2:$G$300,$Z24)="","",INDEX('Quy trinh'!$G$2:$G$300,$Z24)))</f>
        <v/>
      </c>
      <c r="J24" s="38">
        <f>IF($Z24="","",INDEX('Quy trinh'!$H$2:$H$300,$Z24)/100)</f>
        <v/>
      </c>
      <c r="K24" s="37">
        <f>IF($Z24="","",IF(INDEX('Quy trinh'!$I$2:$I$300,$Z24)="","",INDEX('Quy trinh'!$I$2:$I$300,$Z24)))</f>
        <v/>
      </c>
      <c r="L24" s="33" t="n"/>
      <c r="M24" s="33" t="n"/>
      <c r="N24" s="33" t="n"/>
      <c r="O24" s="33" t="n"/>
      <c r="P24" s="33" t="n"/>
      <c r="Q24" s="6" t="n"/>
      <c r="R24" s="6" t="n"/>
      <c r="S24" s="6" t="n"/>
      <c r="T24" s="6" t="n"/>
      <c r="U24" s="6" t="n"/>
      <c r="V24" s="6" t="n"/>
      <c r="W24" s="6" t="n"/>
      <c r="X24" s="6" t="n"/>
      <c r="Y24" s="6" t="n"/>
      <c r="Z24" s="39">
        <f t="array" ref="Z24">IFERROR(SMALL(IF(('Quy trinh'!$E$2:$E$300&lt;&gt;"Yes")*('Quy trinh'!$C$2:$C$300&lt;&gt;""),ROW('Quy trinh'!$A$2:$A$300)-1),14),"")</f>
        <v/>
      </c>
    </row>
    <row r="25" ht="28" customHeight="1">
      <c r="A25" s="6" t="n"/>
      <c r="B25" s="36">
        <f>IF($Z25="","",IF(INDEX('Quy trinh'!$A$2:$A$300,$Z25)="","",INDEX('Quy trinh'!$A$2:$A$300,$Z25)))</f>
        <v/>
      </c>
      <c r="C25" s="37">
        <f>IF($Z25="","",IF(INDEX('Quy trinh'!$C$2:$C$300,$Z25)="","",INDEX('Quy trinh'!$C$2:$C$300,$Z25)))</f>
        <v/>
      </c>
      <c r="D25" s="33" t="n"/>
      <c r="E25" s="33" t="n"/>
      <c r="F25" s="33" t="n"/>
      <c r="G25" s="37">
        <f>IF($Z25="","",IF(INDEX('Quy trinh'!$F$2:$F$300,$Z25)="","",INDEX('Quy trinh'!$F$2:$F$300,$Z25)))</f>
        <v/>
      </c>
      <c r="H25" s="33" t="n"/>
      <c r="I25" s="36">
        <f>IF($Z25="","",IF(INDEX('Quy trinh'!$G$2:$G$300,$Z25)="","",INDEX('Quy trinh'!$G$2:$G$300,$Z25)))</f>
        <v/>
      </c>
      <c r="J25" s="38">
        <f>IF($Z25="","",INDEX('Quy trinh'!$H$2:$H$300,$Z25)/100)</f>
        <v/>
      </c>
      <c r="K25" s="37">
        <f>IF($Z25="","",IF(INDEX('Quy trinh'!$I$2:$I$300,$Z25)="","",INDEX('Quy trinh'!$I$2:$I$300,$Z25)))</f>
        <v/>
      </c>
      <c r="L25" s="33" t="n"/>
      <c r="M25" s="33" t="n"/>
      <c r="N25" s="33" t="n"/>
      <c r="O25" s="33" t="n"/>
      <c r="P25" s="33" t="n"/>
      <c r="Q25" s="6" t="n"/>
      <c r="R25" s="6" t="n"/>
      <c r="S25" s="6" t="n"/>
      <c r="T25" s="6" t="n"/>
      <c r="U25" s="6" t="n"/>
      <c r="V25" s="6" t="n"/>
      <c r="W25" s="6" t="n"/>
      <c r="X25" s="6" t="n"/>
      <c r="Y25" s="6" t="n"/>
      <c r="Z25" s="39">
        <f t="array" ref="Z25">IFERROR(SMALL(IF(('Quy trinh'!$E$2:$E$300&lt;&gt;"Yes")*('Quy trinh'!$C$2:$C$300&lt;&gt;""),ROW('Quy trinh'!$A$2:$A$300)-1),15),"")</f>
        <v/>
      </c>
    </row>
    <row r="26" ht="28" customHeight="1">
      <c r="A26" s="6" t="n"/>
      <c r="B26" s="36">
        <f>IF($Z26="","",IF(INDEX('Quy trinh'!$A$2:$A$300,$Z26)="","",INDEX('Quy trinh'!$A$2:$A$300,$Z26)))</f>
        <v/>
      </c>
      <c r="C26" s="37">
        <f>IF($Z26="","",IF(INDEX('Quy trinh'!$C$2:$C$300,$Z26)="","",INDEX('Quy trinh'!$C$2:$C$300,$Z26)))</f>
        <v/>
      </c>
      <c r="D26" s="33" t="n"/>
      <c r="E26" s="33" t="n"/>
      <c r="F26" s="33" t="n"/>
      <c r="G26" s="37">
        <f>IF($Z26="","",IF(INDEX('Quy trinh'!$F$2:$F$300,$Z26)="","",INDEX('Quy trinh'!$F$2:$F$300,$Z26)))</f>
        <v/>
      </c>
      <c r="H26" s="33" t="n"/>
      <c r="I26" s="36">
        <f>IF($Z26="","",IF(INDEX('Quy trinh'!$G$2:$G$300,$Z26)="","",INDEX('Quy trinh'!$G$2:$G$300,$Z26)))</f>
        <v/>
      </c>
      <c r="J26" s="38">
        <f>IF($Z26="","",INDEX('Quy trinh'!$H$2:$H$300,$Z26)/100)</f>
        <v/>
      </c>
      <c r="K26" s="37">
        <f>IF($Z26="","",IF(INDEX('Quy trinh'!$I$2:$I$300,$Z26)="","",INDEX('Quy trinh'!$I$2:$I$300,$Z26)))</f>
        <v/>
      </c>
      <c r="L26" s="33" t="n"/>
      <c r="M26" s="33" t="n"/>
      <c r="N26" s="33" t="n"/>
      <c r="O26" s="33" t="n"/>
      <c r="P26" s="33" t="n"/>
      <c r="Q26" s="6" t="n"/>
      <c r="R26" s="6" t="n"/>
      <c r="S26" s="6" t="n"/>
      <c r="T26" s="6" t="n"/>
      <c r="U26" s="6" t="n"/>
      <c r="V26" s="6" t="n"/>
      <c r="W26" s="6" t="n"/>
      <c r="X26" s="6" t="n"/>
      <c r="Y26" s="6" t="n"/>
      <c r="Z26" s="39">
        <f t="array" ref="Z26">IFERROR(SMALL(IF(('Quy trinh'!$E$2:$E$300&lt;&gt;"Yes")*('Quy trinh'!$C$2:$C$300&lt;&gt;""),ROW('Quy trinh'!$A$2:$A$300)-1),16),"")</f>
        <v/>
      </c>
    </row>
    <row r="27" ht="28" customHeight="1">
      <c r="A27" s="6" t="n"/>
      <c r="B27" s="36">
        <f>IF($Z27="","",IF(INDEX('Quy trinh'!$A$2:$A$300,$Z27)="","",INDEX('Quy trinh'!$A$2:$A$300,$Z27)))</f>
        <v/>
      </c>
      <c r="C27" s="37">
        <f>IF($Z27="","",IF(INDEX('Quy trinh'!$C$2:$C$300,$Z27)="","",INDEX('Quy trinh'!$C$2:$C$300,$Z27)))</f>
        <v/>
      </c>
      <c r="D27" s="33" t="n"/>
      <c r="E27" s="33" t="n"/>
      <c r="F27" s="33" t="n"/>
      <c r="G27" s="37">
        <f>IF($Z27="","",IF(INDEX('Quy trinh'!$F$2:$F$300,$Z27)="","",INDEX('Quy trinh'!$F$2:$F$300,$Z27)))</f>
        <v/>
      </c>
      <c r="H27" s="33" t="n"/>
      <c r="I27" s="36">
        <f>IF($Z27="","",IF(INDEX('Quy trinh'!$G$2:$G$300,$Z27)="","",INDEX('Quy trinh'!$G$2:$G$300,$Z27)))</f>
        <v/>
      </c>
      <c r="J27" s="38">
        <f>IF($Z27="","",INDEX('Quy trinh'!$H$2:$H$300,$Z27)/100)</f>
        <v/>
      </c>
      <c r="K27" s="37">
        <f>IF($Z27="","",IF(INDEX('Quy trinh'!$I$2:$I$300,$Z27)="","",INDEX('Quy trinh'!$I$2:$I$300,$Z27)))</f>
        <v/>
      </c>
      <c r="L27" s="33" t="n"/>
      <c r="M27" s="33" t="n"/>
      <c r="N27" s="33" t="n"/>
      <c r="O27" s="33" t="n"/>
      <c r="P27" s="33" t="n"/>
      <c r="Q27" s="6" t="n"/>
      <c r="R27" s="6" t="n"/>
      <c r="S27" s="6" t="n"/>
      <c r="T27" s="6" t="n"/>
      <c r="U27" s="6" t="n"/>
      <c r="V27" s="6" t="n"/>
      <c r="W27" s="6" t="n"/>
      <c r="X27" s="6" t="n"/>
      <c r="Y27" s="6" t="n"/>
      <c r="Z27" s="39">
        <f t="array" ref="Z27">IFERROR(SMALL(IF(('Quy trinh'!$E$2:$E$300&lt;&gt;"Yes")*('Quy trinh'!$C$2:$C$300&lt;&gt;""),ROW('Quy trinh'!$A$2:$A$300)-1),17),"")</f>
        <v/>
      </c>
    </row>
    <row r="28" ht="28" customHeight="1">
      <c r="A28" s="6" t="n"/>
      <c r="B28" s="36">
        <f>IF($Z28="","",IF(INDEX('Quy trinh'!$A$2:$A$300,$Z28)="","",INDEX('Quy trinh'!$A$2:$A$300,$Z28)))</f>
        <v/>
      </c>
      <c r="C28" s="37">
        <f>IF($Z28="","",IF(INDEX('Quy trinh'!$C$2:$C$300,$Z28)="","",INDEX('Quy trinh'!$C$2:$C$300,$Z28)))</f>
        <v/>
      </c>
      <c r="D28" s="33" t="n"/>
      <c r="E28" s="33" t="n"/>
      <c r="F28" s="33" t="n"/>
      <c r="G28" s="37">
        <f>IF($Z28="","",IF(INDEX('Quy trinh'!$F$2:$F$300,$Z28)="","",INDEX('Quy trinh'!$F$2:$F$300,$Z28)))</f>
        <v/>
      </c>
      <c r="H28" s="33" t="n"/>
      <c r="I28" s="36">
        <f>IF($Z28="","",IF(INDEX('Quy trinh'!$G$2:$G$300,$Z28)="","",INDEX('Quy trinh'!$G$2:$G$300,$Z28)))</f>
        <v/>
      </c>
      <c r="J28" s="38">
        <f>IF($Z28="","",INDEX('Quy trinh'!$H$2:$H$300,$Z28)/100)</f>
        <v/>
      </c>
      <c r="K28" s="37">
        <f>IF($Z28="","",IF(INDEX('Quy trinh'!$I$2:$I$300,$Z28)="","",INDEX('Quy trinh'!$I$2:$I$300,$Z28)))</f>
        <v/>
      </c>
      <c r="L28" s="33" t="n"/>
      <c r="M28" s="33" t="n"/>
      <c r="N28" s="33" t="n"/>
      <c r="O28" s="33" t="n"/>
      <c r="P28" s="33" t="n"/>
      <c r="Q28" s="6" t="n"/>
      <c r="R28" s="6" t="n"/>
      <c r="S28" s="6" t="n"/>
      <c r="T28" s="6" t="n"/>
      <c r="U28" s="6" t="n"/>
      <c r="V28" s="6" t="n"/>
      <c r="W28" s="6" t="n"/>
      <c r="X28" s="6" t="n"/>
      <c r="Y28" s="6" t="n"/>
      <c r="Z28" s="39">
        <f t="array" ref="Z28">IFERROR(SMALL(IF(('Quy trinh'!$E$2:$E$300&lt;&gt;"Yes")*('Quy trinh'!$C$2:$C$300&lt;&gt;""),ROW('Quy trinh'!$A$2:$A$300)-1),18),"")</f>
        <v/>
      </c>
    </row>
    <row r="29" ht="28" customHeight="1">
      <c r="A29" s="6" t="n"/>
      <c r="B29" s="36">
        <f>IF($Z29="","",IF(INDEX('Quy trinh'!$A$2:$A$300,$Z29)="","",INDEX('Quy trinh'!$A$2:$A$300,$Z29)))</f>
        <v/>
      </c>
      <c r="C29" s="37">
        <f>IF($Z29="","",IF(INDEX('Quy trinh'!$C$2:$C$300,$Z29)="","",INDEX('Quy trinh'!$C$2:$C$300,$Z29)))</f>
        <v/>
      </c>
      <c r="D29" s="33" t="n"/>
      <c r="E29" s="33" t="n"/>
      <c r="F29" s="33" t="n"/>
      <c r="G29" s="37">
        <f>IF($Z29="","",IF(INDEX('Quy trinh'!$F$2:$F$300,$Z29)="","",INDEX('Quy trinh'!$F$2:$F$300,$Z29)))</f>
        <v/>
      </c>
      <c r="H29" s="33" t="n"/>
      <c r="I29" s="36">
        <f>IF($Z29="","",IF(INDEX('Quy trinh'!$G$2:$G$300,$Z29)="","",INDEX('Quy trinh'!$G$2:$G$300,$Z29)))</f>
        <v/>
      </c>
      <c r="J29" s="38">
        <f>IF($Z29="","",INDEX('Quy trinh'!$H$2:$H$300,$Z29)/100)</f>
        <v/>
      </c>
      <c r="K29" s="37">
        <f>IF($Z29="","",IF(INDEX('Quy trinh'!$I$2:$I$300,$Z29)="","",INDEX('Quy trinh'!$I$2:$I$300,$Z29)))</f>
        <v/>
      </c>
      <c r="L29" s="33" t="n"/>
      <c r="M29" s="33" t="n"/>
      <c r="N29" s="33" t="n"/>
      <c r="O29" s="33" t="n"/>
      <c r="P29" s="33" t="n"/>
      <c r="Q29" s="6" t="n"/>
      <c r="R29" s="6" t="n"/>
      <c r="S29" s="6" t="n"/>
      <c r="T29" s="6" t="n"/>
      <c r="U29" s="6" t="n"/>
      <c r="V29" s="6" t="n"/>
      <c r="W29" s="6" t="n"/>
      <c r="X29" s="6" t="n"/>
      <c r="Y29" s="6" t="n"/>
      <c r="Z29" s="39">
        <f t="array" ref="Z29">IFERROR(SMALL(IF(('Quy trinh'!$E$2:$E$300&lt;&gt;"Yes")*('Quy trinh'!$C$2:$C$300&lt;&gt;""),ROW('Quy trinh'!$A$2:$A$300)-1),19),"")</f>
        <v/>
      </c>
    </row>
    <row r="30" ht="28" customHeight="1">
      <c r="A30" s="6" t="n"/>
      <c r="B30" s="36">
        <f>IF($Z30="","",IF(INDEX('Quy trinh'!$A$2:$A$300,$Z30)="","",INDEX('Quy trinh'!$A$2:$A$300,$Z30)))</f>
        <v/>
      </c>
      <c r="C30" s="37">
        <f>IF($Z30="","",IF(INDEX('Quy trinh'!$C$2:$C$300,$Z30)="","",INDEX('Quy trinh'!$C$2:$C$300,$Z30)))</f>
        <v/>
      </c>
      <c r="D30" s="33" t="n"/>
      <c r="E30" s="33" t="n"/>
      <c r="F30" s="33" t="n"/>
      <c r="G30" s="37">
        <f>IF($Z30="","",IF(INDEX('Quy trinh'!$F$2:$F$300,$Z30)="","",INDEX('Quy trinh'!$F$2:$F$300,$Z30)))</f>
        <v/>
      </c>
      <c r="H30" s="33" t="n"/>
      <c r="I30" s="36">
        <f>IF($Z30="","",IF(INDEX('Quy trinh'!$G$2:$G$300,$Z30)="","",INDEX('Quy trinh'!$G$2:$G$300,$Z30)))</f>
        <v/>
      </c>
      <c r="J30" s="38">
        <f>IF($Z30="","",INDEX('Quy trinh'!$H$2:$H$300,$Z30)/100)</f>
        <v/>
      </c>
      <c r="K30" s="37">
        <f>IF($Z30="","",IF(INDEX('Quy trinh'!$I$2:$I$300,$Z30)="","",INDEX('Quy trinh'!$I$2:$I$300,$Z30)))</f>
        <v/>
      </c>
      <c r="L30" s="33" t="n"/>
      <c r="M30" s="33" t="n"/>
      <c r="N30" s="33" t="n"/>
      <c r="O30" s="33" t="n"/>
      <c r="P30" s="33" t="n"/>
      <c r="Q30" s="6" t="n"/>
      <c r="R30" s="6" t="n"/>
      <c r="S30" s="6" t="n"/>
      <c r="T30" s="6" t="n"/>
      <c r="U30" s="6" t="n"/>
      <c r="V30" s="6" t="n"/>
      <c r="W30" s="6" t="n"/>
      <c r="X30" s="6" t="n"/>
      <c r="Y30" s="6" t="n"/>
      <c r="Z30" s="39">
        <f t="array" ref="Z30">IFERROR(SMALL(IF(('Quy trinh'!$E$2:$E$300&lt;&gt;"Yes")*('Quy trinh'!$C$2:$C$300&lt;&gt;""),ROW('Quy trinh'!$A$2:$A$300)-1),20),"")</f>
        <v/>
      </c>
    </row>
    <row r="31" ht="28" customHeight="1">
      <c r="A31" s="6" t="n"/>
      <c r="B31" s="36">
        <f>IF($Z31="","",IF(INDEX('Quy trinh'!$A$2:$A$300,$Z31)="","",INDEX('Quy trinh'!$A$2:$A$300,$Z31)))</f>
        <v/>
      </c>
      <c r="C31" s="37">
        <f>IF($Z31="","",IF(INDEX('Quy trinh'!$C$2:$C$300,$Z31)="","",INDEX('Quy trinh'!$C$2:$C$300,$Z31)))</f>
        <v/>
      </c>
      <c r="D31" s="33" t="n"/>
      <c r="E31" s="33" t="n"/>
      <c r="F31" s="33" t="n"/>
      <c r="G31" s="37">
        <f>IF($Z31="","",IF(INDEX('Quy trinh'!$F$2:$F$300,$Z31)="","",INDEX('Quy trinh'!$F$2:$F$300,$Z31)))</f>
        <v/>
      </c>
      <c r="H31" s="33" t="n"/>
      <c r="I31" s="36">
        <f>IF($Z31="","",IF(INDEX('Quy trinh'!$G$2:$G$300,$Z31)="","",INDEX('Quy trinh'!$G$2:$G$300,$Z31)))</f>
        <v/>
      </c>
      <c r="J31" s="38">
        <f>IF($Z31="","",INDEX('Quy trinh'!$H$2:$H$300,$Z31)/100)</f>
        <v/>
      </c>
      <c r="K31" s="37">
        <f>IF($Z31="","",IF(INDEX('Quy trinh'!$I$2:$I$300,$Z31)="","",INDEX('Quy trinh'!$I$2:$I$300,$Z31)))</f>
        <v/>
      </c>
      <c r="L31" s="33" t="n"/>
      <c r="M31" s="33" t="n"/>
      <c r="N31" s="33" t="n"/>
      <c r="O31" s="33" t="n"/>
      <c r="P31" s="33" t="n"/>
      <c r="Q31" s="6" t="n"/>
      <c r="R31" s="6" t="n"/>
      <c r="S31" s="6" t="n"/>
      <c r="T31" s="6" t="n"/>
      <c r="U31" s="6" t="n"/>
      <c r="V31" s="6" t="n"/>
      <c r="W31" s="6" t="n"/>
      <c r="X31" s="6" t="n"/>
      <c r="Y31" s="6" t="n"/>
      <c r="Z31" s="39">
        <f t="array" ref="Z31">IFERROR(SMALL(IF(('Quy trinh'!$E$2:$E$300&lt;&gt;"Yes")*('Quy trinh'!$C$2:$C$300&lt;&gt;""),ROW('Quy trinh'!$A$2:$A$300)-1),21),"")</f>
        <v/>
      </c>
    </row>
    <row r="32" ht="28" customHeight="1">
      <c r="A32" s="6" t="n"/>
      <c r="B32" s="36">
        <f>IF($Z32="","",IF(INDEX('Quy trinh'!$A$2:$A$300,$Z32)="","",INDEX('Quy trinh'!$A$2:$A$300,$Z32)))</f>
        <v/>
      </c>
      <c r="C32" s="37">
        <f>IF($Z32="","",IF(INDEX('Quy trinh'!$C$2:$C$300,$Z32)="","",INDEX('Quy trinh'!$C$2:$C$300,$Z32)))</f>
        <v/>
      </c>
      <c r="D32" s="33" t="n"/>
      <c r="E32" s="33" t="n"/>
      <c r="F32" s="33" t="n"/>
      <c r="G32" s="37">
        <f>IF($Z32="","",IF(INDEX('Quy trinh'!$F$2:$F$300,$Z32)="","",INDEX('Quy trinh'!$F$2:$F$300,$Z32)))</f>
        <v/>
      </c>
      <c r="H32" s="33" t="n"/>
      <c r="I32" s="36">
        <f>IF($Z32="","",IF(INDEX('Quy trinh'!$G$2:$G$300,$Z32)="","",INDEX('Quy trinh'!$G$2:$G$300,$Z32)))</f>
        <v/>
      </c>
      <c r="J32" s="38">
        <f>IF($Z32="","",INDEX('Quy trinh'!$H$2:$H$300,$Z32)/100)</f>
        <v/>
      </c>
      <c r="K32" s="37">
        <f>IF($Z32="","",IF(INDEX('Quy trinh'!$I$2:$I$300,$Z32)="","",INDEX('Quy trinh'!$I$2:$I$300,$Z32)))</f>
        <v/>
      </c>
      <c r="L32" s="33" t="n"/>
      <c r="M32" s="33" t="n"/>
      <c r="N32" s="33" t="n"/>
      <c r="O32" s="33" t="n"/>
      <c r="P32" s="33" t="n"/>
      <c r="Q32" s="6" t="n"/>
      <c r="R32" s="6" t="n"/>
      <c r="S32" s="6" t="n"/>
      <c r="T32" s="6" t="n"/>
      <c r="U32" s="6" t="n"/>
      <c r="V32" s="6" t="n"/>
      <c r="W32" s="6" t="n"/>
      <c r="X32" s="6" t="n"/>
      <c r="Y32" s="6" t="n"/>
      <c r="Z32" s="39">
        <f t="array" ref="Z32">IFERROR(SMALL(IF(('Quy trinh'!$E$2:$E$300&lt;&gt;"Yes")*('Quy trinh'!$C$2:$C$300&lt;&gt;""),ROW('Quy trinh'!$A$2:$A$300)-1),22),"")</f>
        <v/>
      </c>
    </row>
    <row r="33" ht="28" customHeight="1">
      <c r="A33" s="6" t="n"/>
      <c r="B33" s="36">
        <f>IF($Z33="","",IF(INDEX('Quy trinh'!$A$2:$A$300,$Z33)="","",INDEX('Quy trinh'!$A$2:$A$300,$Z33)))</f>
        <v/>
      </c>
      <c r="C33" s="37">
        <f>IF($Z33="","",IF(INDEX('Quy trinh'!$C$2:$C$300,$Z33)="","",INDEX('Quy trinh'!$C$2:$C$300,$Z33)))</f>
        <v/>
      </c>
      <c r="D33" s="33" t="n"/>
      <c r="E33" s="33" t="n"/>
      <c r="F33" s="33" t="n"/>
      <c r="G33" s="37">
        <f>IF($Z33="","",IF(INDEX('Quy trinh'!$F$2:$F$300,$Z33)="","",INDEX('Quy trinh'!$F$2:$F$300,$Z33)))</f>
        <v/>
      </c>
      <c r="H33" s="33" t="n"/>
      <c r="I33" s="36">
        <f>IF($Z33="","",IF(INDEX('Quy trinh'!$G$2:$G$300,$Z33)="","",INDEX('Quy trinh'!$G$2:$G$300,$Z33)))</f>
        <v/>
      </c>
      <c r="J33" s="38">
        <f>IF($Z33="","",INDEX('Quy trinh'!$H$2:$H$300,$Z33)/100)</f>
        <v/>
      </c>
      <c r="K33" s="37">
        <f>IF($Z33="","",IF(INDEX('Quy trinh'!$I$2:$I$300,$Z33)="","",INDEX('Quy trinh'!$I$2:$I$300,$Z33)))</f>
        <v/>
      </c>
      <c r="L33" s="33" t="n"/>
      <c r="M33" s="33" t="n"/>
      <c r="N33" s="33" t="n"/>
      <c r="O33" s="33" t="n"/>
      <c r="P33" s="33" t="n"/>
      <c r="Q33" s="6" t="n"/>
      <c r="R33" s="6" t="n"/>
      <c r="S33" s="6" t="n"/>
      <c r="T33" s="6" t="n"/>
      <c r="U33" s="6" t="n"/>
      <c r="V33" s="6" t="n"/>
      <c r="W33" s="6" t="n"/>
      <c r="X33" s="6" t="n"/>
      <c r="Y33" s="6" t="n"/>
      <c r="Z33" s="39">
        <f t="array" ref="Z33">IFERROR(SMALL(IF(('Quy trinh'!$E$2:$E$300&lt;&gt;"Yes")*('Quy trinh'!$C$2:$C$300&lt;&gt;""),ROW('Quy trinh'!$A$2:$A$300)-1),23),"")</f>
        <v/>
      </c>
    </row>
    <row r="34" ht="28" customHeight="1">
      <c r="A34" s="6" t="n"/>
      <c r="B34" s="36">
        <f>IF($Z34="","",IF(INDEX('Quy trinh'!$A$2:$A$300,$Z34)="","",INDEX('Quy trinh'!$A$2:$A$300,$Z34)))</f>
        <v/>
      </c>
      <c r="C34" s="37">
        <f>IF($Z34="","",IF(INDEX('Quy trinh'!$C$2:$C$300,$Z34)="","",INDEX('Quy trinh'!$C$2:$C$300,$Z34)))</f>
        <v/>
      </c>
      <c r="D34" s="33" t="n"/>
      <c r="E34" s="33" t="n"/>
      <c r="F34" s="33" t="n"/>
      <c r="G34" s="37">
        <f>IF($Z34="","",IF(INDEX('Quy trinh'!$F$2:$F$300,$Z34)="","",INDEX('Quy trinh'!$F$2:$F$300,$Z34)))</f>
        <v/>
      </c>
      <c r="H34" s="33" t="n"/>
      <c r="I34" s="36">
        <f>IF($Z34="","",IF(INDEX('Quy trinh'!$G$2:$G$300,$Z34)="","",INDEX('Quy trinh'!$G$2:$G$300,$Z34)))</f>
        <v/>
      </c>
      <c r="J34" s="38">
        <f>IF($Z34="","",INDEX('Quy trinh'!$H$2:$H$300,$Z34)/100)</f>
        <v/>
      </c>
      <c r="K34" s="37">
        <f>IF($Z34="","",IF(INDEX('Quy trinh'!$I$2:$I$300,$Z34)="","",INDEX('Quy trinh'!$I$2:$I$300,$Z34)))</f>
        <v/>
      </c>
      <c r="L34" s="33" t="n"/>
      <c r="M34" s="33" t="n"/>
      <c r="N34" s="33" t="n"/>
      <c r="O34" s="33" t="n"/>
      <c r="P34" s="33" t="n"/>
      <c r="Q34" s="6" t="n"/>
      <c r="R34" s="6" t="n"/>
      <c r="S34" s="6" t="n"/>
      <c r="T34" s="6" t="n"/>
      <c r="U34" s="6" t="n"/>
      <c r="V34" s="6" t="n"/>
      <c r="W34" s="6" t="n"/>
      <c r="X34" s="6" t="n"/>
      <c r="Y34" s="6" t="n"/>
      <c r="Z34" s="39">
        <f t="array" ref="Z34">IFERROR(SMALL(IF(('Quy trinh'!$E$2:$E$300&lt;&gt;"Yes")*('Quy trinh'!$C$2:$C$300&lt;&gt;""),ROW('Quy trinh'!$A$2:$A$300)-1),24),"")</f>
        <v/>
      </c>
    </row>
    <row r="35" ht="28" customHeight="1">
      <c r="A35" s="6" t="n"/>
      <c r="B35" s="36">
        <f>IF($Z35="","",IF(INDEX('Quy trinh'!$A$2:$A$300,$Z35)="","",INDEX('Quy trinh'!$A$2:$A$300,$Z35)))</f>
        <v/>
      </c>
      <c r="C35" s="37">
        <f>IF($Z35="","",IF(INDEX('Quy trinh'!$C$2:$C$300,$Z35)="","",INDEX('Quy trinh'!$C$2:$C$300,$Z35)))</f>
        <v/>
      </c>
      <c r="D35" s="33" t="n"/>
      <c r="E35" s="33" t="n"/>
      <c r="F35" s="33" t="n"/>
      <c r="G35" s="37">
        <f>IF($Z35="","",IF(INDEX('Quy trinh'!$F$2:$F$300,$Z35)="","",INDEX('Quy trinh'!$F$2:$F$300,$Z35)))</f>
        <v/>
      </c>
      <c r="H35" s="33" t="n"/>
      <c r="I35" s="36">
        <f>IF($Z35="","",IF(INDEX('Quy trinh'!$G$2:$G$300,$Z35)="","",INDEX('Quy trinh'!$G$2:$G$300,$Z35)))</f>
        <v/>
      </c>
      <c r="J35" s="38">
        <f>IF($Z35="","",INDEX('Quy trinh'!$H$2:$H$300,$Z35)/100)</f>
        <v/>
      </c>
      <c r="K35" s="37">
        <f>IF($Z35="","",IF(INDEX('Quy trinh'!$I$2:$I$300,$Z35)="","",INDEX('Quy trinh'!$I$2:$I$300,$Z35)))</f>
        <v/>
      </c>
      <c r="L35" s="33" t="n"/>
      <c r="M35" s="33" t="n"/>
      <c r="N35" s="33" t="n"/>
      <c r="O35" s="33" t="n"/>
      <c r="P35" s="33" t="n"/>
      <c r="Q35" s="6" t="n"/>
      <c r="R35" s="6" t="n"/>
      <c r="S35" s="6" t="n"/>
      <c r="T35" s="6" t="n"/>
      <c r="U35" s="6" t="n"/>
      <c r="V35" s="6" t="n"/>
      <c r="W35" s="6" t="n"/>
      <c r="X35" s="6" t="n"/>
      <c r="Y35" s="6" t="n"/>
      <c r="Z35" s="39">
        <f t="array" ref="Z35">IFERROR(SMALL(IF(('Quy trinh'!$E$2:$E$300&lt;&gt;"Yes")*('Quy trinh'!$C$2:$C$300&lt;&gt;""),ROW('Quy trinh'!$A$2:$A$300)-1),25),"")</f>
        <v/>
      </c>
    </row>
    <row r="36" ht="28" customHeight="1">
      <c r="A36" s="6" t="n"/>
      <c r="B36" s="36">
        <f>IF($Z36="","",IF(INDEX('Quy trinh'!$A$2:$A$300,$Z36)="","",INDEX('Quy trinh'!$A$2:$A$300,$Z36)))</f>
        <v/>
      </c>
      <c r="C36" s="37">
        <f>IF($Z36="","",IF(INDEX('Quy trinh'!$C$2:$C$300,$Z36)="","",INDEX('Quy trinh'!$C$2:$C$300,$Z36)))</f>
        <v/>
      </c>
      <c r="D36" s="33" t="n"/>
      <c r="E36" s="33" t="n"/>
      <c r="F36" s="33" t="n"/>
      <c r="G36" s="37">
        <f>IF($Z36="","",IF(INDEX('Quy trinh'!$F$2:$F$300,$Z36)="","",INDEX('Quy trinh'!$F$2:$F$300,$Z36)))</f>
        <v/>
      </c>
      <c r="H36" s="33" t="n"/>
      <c r="I36" s="36">
        <f>IF($Z36="","",IF(INDEX('Quy trinh'!$G$2:$G$300,$Z36)="","",INDEX('Quy trinh'!$G$2:$G$300,$Z36)))</f>
        <v/>
      </c>
      <c r="J36" s="38">
        <f>IF($Z36="","",INDEX('Quy trinh'!$H$2:$H$300,$Z36)/100)</f>
        <v/>
      </c>
      <c r="K36" s="37">
        <f>IF($Z36="","",IF(INDEX('Quy trinh'!$I$2:$I$300,$Z36)="","",INDEX('Quy trinh'!$I$2:$I$300,$Z36)))</f>
        <v/>
      </c>
      <c r="L36" s="33" t="n"/>
      <c r="M36" s="33" t="n"/>
      <c r="N36" s="33" t="n"/>
      <c r="O36" s="33" t="n"/>
      <c r="P36" s="33" t="n"/>
      <c r="Q36" s="6" t="n"/>
      <c r="R36" s="6" t="n"/>
      <c r="S36" s="6" t="n"/>
      <c r="T36" s="6" t="n"/>
      <c r="U36" s="6" t="n"/>
      <c r="V36" s="6" t="n"/>
      <c r="W36" s="6" t="n"/>
      <c r="X36" s="6" t="n"/>
      <c r="Y36" s="6" t="n"/>
      <c r="Z36" s="39">
        <f t="array" ref="Z36">IFERROR(SMALL(IF(('Quy trinh'!$E$2:$E$300&lt;&gt;"Yes")*('Quy trinh'!$C$2:$C$300&lt;&gt;""),ROW('Quy trinh'!$A$2:$A$300)-1),26),"")</f>
        <v/>
      </c>
    </row>
    <row r="37" ht="28" customHeight="1">
      <c r="A37" s="6" t="n"/>
      <c r="B37" s="36">
        <f>IF($Z37="","",IF(INDEX('Quy trinh'!$A$2:$A$300,$Z37)="","",INDEX('Quy trinh'!$A$2:$A$300,$Z37)))</f>
        <v/>
      </c>
      <c r="C37" s="37">
        <f>IF($Z37="","",IF(INDEX('Quy trinh'!$C$2:$C$300,$Z37)="","",INDEX('Quy trinh'!$C$2:$C$300,$Z37)))</f>
        <v/>
      </c>
      <c r="D37" s="33" t="n"/>
      <c r="E37" s="33" t="n"/>
      <c r="F37" s="33" t="n"/>
      <c r="G37" s="37">
        <f>IF($Z37="","",IF(INDEX('Quy trinh'!$F$2:$F$300,$Z37)="","",INDEX('Quy trinh'!$F$2:$F$300,$Z37)))</f>
        <v/>
      </c>
      <c r="H37" s="33" t="n"/>
      <c r="I37" s="36">
        <f>IF($Z37="","",IF(INDEX('Quy trinh'!$G$2:$G$300,$Z37)="","",INDEX('Quy trinh'!$G$2:$G$300,$Z37)))</f>
        <v/>
      </c>
      <c r="J37" s="38">
        <f>IF($Z37="","",INDEX('Quy trinh'!$H$2:$H$300,$Z37)/100)</f>
        <v/>
      </c>
      <c r="K37" s="37">
        <f>IF($Z37="","",IF(INDEX('Quy trinh'!$I$2:$I$300,$Z37)="","",INDEX('Quy trinh'!$I$2:$I$300,$Z37)))</f>
        <v/>
      </c>
      <c r="L37" s="33" t="n"/>
      <c r="M37" s="33" t="n"/>
      <c r="N37" s="33" t="n"/>
      <c r="O37" s="33" t="n"/>
      <c r="P37" s="33" t="n"/>
      <c r="Q37" s="6" t="n"/>
      <c r="R37" s="6" t="n"/>
      <c r="S37" s="6" t="n"/>
      <c r="T37" s="6" t="n"/>
      <c r="U37" s="6" t="n"/>
      <c r="V37" s="6" t="n"/>
      <c r="W37" s="6" t="n"/>
      <c r="X37" s="6" t="n"/>
      <c r="Y37" s="6" t="n"/>
      <c r="Z37" s="39">
        <f t="array" ref="Z37">IFERROR(SMALL(IF(('Quy trinh'!$E$2:$E$300&lt;&gt;"Yes")*('Quy trinh'!$C$2:$C$300&lt;&gt;""),ROW('Quy trinh'!$A$2:$A$300)-1),27),"")</f>
        <v/>
      </c>
    </row>
    <row r="38" ht="28" customHeight="1">
      <c r="A38" s="6" t="n"/>
      <c r="B38" s="36">
        <f>IF($Z38="","",IF(INDEX('Quy trinh'!$A$2:$A$300,$Z38)="","",INDEX('Quy trinh'!$A$2:$A$300,$Z38)))</f>
        <v/>
      </c>
      <c r="C38" s="37">
        <f>IF($Z38="","",IF(INDEX('Quy trinh'!$C$2:$C$300,$Z38)="","",INDEX('Quy trinh'!$C$2:$C$300,$Z38)))</f>
        <v/>
      </c>
      <c r="D38" s="33" t="n"/>
      <c r="E38" s="33" t="n"/>
      <c r="F38" s="33" t="n"/>
      <c r="G38" s="37">
        <f>IF($Z38="","",IF(INDEX('Quy trinh'!$F$2:$F$300,$Z38)="","",INDEX('Quy trinh'!$F$2:$F$300,$Z38)))</f>
        <v/>
      </c>
      <c r="H38" s="33" t="n"/>
      <c r="I38" s="36">
        <f>IF($Z38="","",IF(INDEX('Quy trinh'!$G$2:$G$300,$Z38)="","",INDEX('Quy trinh'!$G$2:$G$300,$Z38)))</f>
        <v/>
      </c>
      <c r="J38" s="38">
        <f>IF($Z38="","",INDEX('Quy trinh'!$H$2:$H$300,$Z38)/100)</f>
        <v/>
      </c>
      <c r="K38" s="37">
        <f>IF($Z38="","",IF(INDEX('Quy trinh'!$I$2:$I$300,$Z38)="","",INDEX('Quy trinh'!$I$2:$I$300,$Z38)))</f>
        <v/>
      </c>
      <c r="L38" s="33" t="n"/>
      <c r="M38" s="33" t="n"/>
      <c r="N38" s="33" t="n"/>
      <c r="O38" s="33" t="n"/>
      <c r="P38" s="33" t="n"/>
      <c r="Q38" s="6" t="n"/>
      <c r="R38" s="6" t="n"/>
      <c r="S38" s="6" t="n"/>
      <c r="T38" s="6" t="n"/>
      <c r="U38" s="6" t="n"/>
      <c r="V38" s="6" t="n"/>
      <c r="W38" s="6" t="n"/>
      <c r="X38" s="6" t="n"/>
      <c r="Y38" s="6" t="n"/>
      <c r="Z38" s="39">
        <f t="array" ref="Z38">IFERROR(SMALL(IF(('Quy trinh'!$E$2:$E$300&lt;&gt;"Yes")*('Quy trinh'!$C$2:$C$300&lt;&gt;""),ROW('Quy trinh'!$A$2:$A$300)-1),28),"")</f>
        <v/>
      </c>
    </row>
    <row r="39" ht="28" customHeight="1">
      <c r="A39" s="6" t="n"/>
      <c r="B39" s="36">
        <f>IF($Z39="","",IF(INDEX('Quy trinh'!$A$2:$A$300,$Z39)="","",INDEX('Quy trinh'!$A$2:$A$300,$Z39)))</f>
        <v/>
      </c>
      <c r="C39" s="37">
        <f>IF($Z39="","",IF(INDEX('Quy trinh'!$C$2:$C$300,$Z39)="","",INDEX('Quy trinh'!$C$2:$C$300,$Z39)))</f>
        <v/>
      </c>
      <c r="D39" s="33" t="n"/>
      <c r="E39" s="33" t="n"/>
      <c r="F39" s="33" t="n"/>
      <c r="G39" s="37">
        <f>IF($Z39="","",IF(INDEX('Quy trinh'!$F$2:$F$300,$Z39)="","",INDEX('Quy trinh'!$F$2:$F$300,$Z39)))</f>
        <v/>
      </c>
      <c r="H39" s="33" t="n"/>
      <c r="I39" s="36">
        <f>IF($Z39="","",IF(INDEX('Quy trinh'!$G$2:$G$300,$Z39)="","",INDEX('Quy trinh'!$G$2:$G$300,$Z39)))</f>
        <v/>
      </c>
      <c r="J39" s="38">
        <f>IF($Z39="","",INDEX('Quy trinh'!$H$2:$H$300,$Z39)/100)</f>
        <v/>
      </c>
      <c r="K39" s="37">
        <f>IF($Z39="","",IF(INDEX('Quy trinh'!$I$2:$I$300,$Z39)="","",INDEX('Quy trinh'!$I$2:$I$300,$Z39)))</f>
        <v/>
      </c>
      <c r="L39" s="33" t="n"/>
      <c r="M39" s="33" t="n"/>
      <c r="N39" s="33" t="n"/>
      <c r="O39" s="33" t="n"/>
      <c r="P39" s="33" t="n"/>
      <c r="Q39" s="6" t="n"/>
      <c r="R39" s="6" t="n"/>
      <c r="S39" s="6" t="n"/>
      <c r="T39" s="6" t="n"/>
      <c r="U39" s="6" t="n"/>
      <c r="V39" s="6" t="n"/>
      <c r="W39" s="6" t="n"/>
      <c r="X39" s="6" t="n"/>
      <c r="Y39" s="6" t="n"/>
      <c r="Z39" s="39">
        <f t="array" ref="Z39">IFERROR(SMALL(IF(('Quy trinh'!$E$2:$E$300&lt;&gt;"Yes")*('Quy trinh'!$C$2:$C$300&lt;&gt;""),ROW('Quy trinh'!$A$2:$A$300)-1),29),"")</f>
        <v/>
      </c>
    </row>
    <row r="40" ht="28" customHeight="1">
      <c r="A40" s="6" t="n"/>
      <c r="B40" s="36">
        <f>IF($Z40="","",IF(INDEX('Quy trinh'!$A$2:$A$300,$Z40)="","",INDEX('Quy trinh'!$A$2:$A$300,$Z40)))</f>
        <v/>
      </c>
      <c r="C40" s="37">
        <f>IF($Z40="","",IF(INDEX('Quy trinh'!$C$2:$C$300,$Z40)="","",INDEX('Quy trinh'!$C$2:$C$300,$Z40)))</f>
        <v/>
      </c>
      <c r="D40" s="33" t="n"/>
      <c r="E40" s="33" t="n"/>
      <c r="F40" s="33" t="n"/>
      <c r="G40" s="37">
        <f>IF($Z40="","",IF(INDEX('Quy trinh'!$F$2:$F$300,$Z40)="","",INDEX('Quy trinh'!$F$2:$F$300,$Z40)))</f>
        <v/>
      </c>
      <c r="H40" s="33" t="n"/>
      <c r="I40" s="36">
        <f>IF($Z40="","",IF(INDEX('Quy trinh'!$G$2:$G$300,$Z40)="","",INDEX('Quy trinh'!$G$2:$G$300,$Z40)))</f>
        <v/>
      </c>
      <c r="J40" s="38">
        <f>IF($Z40="","",INDEX('Quy trinh'!$H$2:$H$300,$Z40)/100)</f>
        <v/>
      </c>
      <c r="K40" s="37">
        <f>IF($Z40="","",IF(INDEX('Quy trinh'!$I$2:$I$300,$Z40)="","",INDEX('Quy trinh'!$I$2:$I$300,$Z40)))</f>
        <v/>
      </c>
      <c r="L40" s="33" t="n"/>
      <c r="M40" s="33" t="n"/>
      <c r="N40" s="33" t="n"/>
      <c r="O40" s="33" t="n"/>
      <c r="P40" s="33" t="n"/>
      <c r="Q40" s="6" t="n"/>
      <c r="R40" s="6" t="n"/>
      <c r="S40" s="6" t="n"/>
      <c r="T40" s="6" t="n"/>
      <c r="U40" s="6" t="n"/>
      <c r="V40" s="6" t="n"/>
      <c r="W40" s="6" t="n"/>
      <c r="X40" s="6" t="n"/>
      <c r="Y40" s="6" t="n"/>
      <c r="Z40" s="39">
        <f t="array" ref="Z40">IFERROR(SMALL(IF(('Quy trinh'!$E$2:$E$300&lt;&gt;"Yes")*('Quy trinh'!$C$2:$C$300&lt;&gt;""),ROW('Quy trinh'!$A$2:$A$300)-1),30),"")</f>
        <v/>
      </c>
    </row>
    <row r="41" ht="28" customHeight="1">
      <c r="A41" s="6" t="n"/>
      <c r="B41" s="36">
        <f>IF($Z41="","",IF(INDEX('Quy trinh'!$A$2:$A$300,$Z41)="","",INDEX('Quy trinh'!$A$2:$A$300,$Z41)))</f>
        <v/>
      </c>
      <c r="C41" s="37">
        <f>IF($Z41="","",IF(INDEX('Quy trinh'!$C$2:$C$300,$Z41)="","",INDEX('Quy trinh'!$C$2:$C$300,$Z41)))</f>
        <v/>
      </c>
      <c r="D41" s="33" t="n"/>
      <c r="E41" s="33" t="n"/>
      <c r="F41" s="33" t="n"/>
      <c r="G41" s="37">
        <f>IF($Z41="","",IF(INDEX('Quy trinh'!$F$2:$F$300,$Z41)="","",INDEX('Quy trinh'!$F$2:$F$300,$Z41)))</f>
        <v/>
      </c>
      <c r="H41" s="33" t="n"/>
      <c r="I41" s="36">
        <f>IF($Z41="","",IF(INDEX('Quy trinh'!$G$2:$G$300,$Z41)="","",INDEX('Quy trinh'!$G$2:$G$300,$Z41)))</f>
        <v/>
      </c>
      <c r="J41" s="38">
        <f>IF($Z41="","",INDEX('Quy trinh'!$H$2:$H$300,$Z41)/100)</f>
        <v/>
      </c>
      <c r="K41" s="37">
        <f>IF($Z41="","",IF(INDEX('Quy trinh'!$I$2:$I$300,$Z41)="","",INDEX('Quy trinh'!$I$2:$I$300,$Z41)))</f>
        <v/>
      </c>
      <c r="L41" s="33" t="n"/>
      <c r="M41" s="33" t="n"/>
      <c r="N41" s="33" t="n"/>
      <c r="O41" s="33" t="n"/>
      <c r="P41" s="33" t="n"/>
      <c r="Q41" s="6" t="n"/>
      <c r="R41" s="6" t="n"/>
      <c r="S41" s="6" t="n"/>
      <c r="T41" s="6" t="n"/>
      <c r="U41" s="6" t="n"/>
      <c r="V41" s="6" t="n"/>
      <c r="W41" s="6" t="n"/>
      <c r="X41" s="6" t="n"/>
      <c r="Y41" s="6" t="n"/>
      <c r="Z41" s="39">
        <f t="array" ref="Z41">IFERROR(SMALL(IF(('Quy trinh'!$E$2:$E$300&lt;&gt;"Yes")*('Quy trinh'!$C$2:$C$300&lt;&gt;""),ROW('Quy trinh'!$A$2:$A$300)-1),31),"")</f>
        <v/>
      </c>
    </row>
    <row r="42" ht="28" customHeight="1">
      <c r="A42" s="6" t="n"/>
      <c r="B42" s="36">
        <f>IF($Z42="","",IF(INDEX('Quy trinh'!$A$2:$A$300,$Z42)="","",INDEX('Quy trinh'!$A$2:$A$300,$Z42)))</f>
        <v/>
      </c>
      <c r="C42" s="37">
        <f>IF($Z42="","",IF(INDEX('Quy trinh'!$C$2:$C$300,$Z42)="","",INDEX('Quy trinh'!$C$2:$C$300,$Z42)))</f>
        <v/>
      </c>
      <c r="D42" s="33" t="n"/>
      <c r="E42" s="33" t="n"/>
      <c r="F42" s="33" t="n"/>
      <c r="G42" s="37">
        <f>IF($Z42="","",IF(INDEX('Quy trinh'!$F$2:$F$300,$Z42)="","",INDEX('Quy trinh'!$F$2:$F$300,$Z42)))</f>
        <v/>
      </c>
      <c r="H42" s="33" t="n"/>
      <c r="I42" s="36">
        <f>IF($Z42="","",IF(INDEX('Quy trinh'!$G$2:$G$300,$Z42)="","",INDEX('Quy trinh'!$G$2:$G$300,$Z42)))</f>
        <v/>
      </c>
      <c r="J42" s="38">
        <f>IF($Z42="","",INDEX('Quy trinh'!$H$2:$H$300,$Z42)/100)</f>
        <v/>
      </c>
      <c r="K42" s="37">
        <f>IF($Z42="","",IF(INDEX('Quy trinh'!$I$2:$I$300,$Z42)="","",INDEX('Quy trinh'!$I$2:$I$300,$Z42)))</f>
        <v/>
      </c>
      <c r="L42" s="33" t="n"/>
      <c r="M42" s="33" t="n"/>
      <c r="N42" s="33" t="n"/>
      <c r="O42" s="33" t="n"/>
      <c r="P42" s="33" t="n"/>
      <c r="Q42" s="6" t="n"/>
      <c r="R42" s="6" t="n"/>
      <c r="S42" s="6" t="n"/>
      <c r="T42" s="6" t="n"/>
      <c r="U42" s="6" t="n"/>
      <c r="V42" s="6" t="n"/>
      <c r="W42" s="6" t="n"/>
      <c r="X42" s="6" t="n"/>
      <c r="Y42" s="6" t="n"/>
      <c r="Z42" s="39">
        <f t="array" ref="Z42">IFERROR(SMALL(IF(('Quy trinh'!$E$2:$E$300&lt;&gt;"Yes")*('Quy trinh'!$C$2:$C$300&lt;&gt;""),ROW('Quy trinh'!$A$2:$A$300)-1),32),"")</f>
        <v/>
      </c>
    </row>
    <row r="43" ht="28" customHeight="1">
      <c r="A43" s="6" t="n"/>
      <c r="B43" s="36">
        <f>IF($Z43="","",IF(INDEX('Quy trinh'!$A$2:$A$300,$Z43)="","",INDEX('Quy trinh'!$A$2:$A$300,$Z43)))</f>
        <v/>
      </c>
      <c r="C43" s="37">
        <f>IF($Z43="","",IF(INDEX('Quy trinh'!$C$2:$C$300,$Z43)="","",INDEX('Quy trinh'!$C$2:$C$300,$Z43)))</f>
        <v/>
      </c>
      <c r="D43" s="33" t="n"/>
      <c r="E43" s="33" t="n"/>
      <c r="F43" s="33" t="n"/>
      <c r="G43" s="37">
        <f>IF($Z43="","",IF(INDEX('Quy trinh'!$F$2:$F$300,$Z43)="","",INDEX('Quy trinh'!$F$2:$F$300,$Z43)))</f>
        <v/>
      </c>
      <c r="H43" s="33" t="n"/>
      <c r="I43" s="36">
        <f>IF($Z43="","",IF(INDEX('Quy trinh'!$G$2:$G$300,$Z43)="","",INDEX('Quy trinh'!$G$2:$G$300,$Z43)))</f>
        <v/>
      </c>
      <c r="J43" s="38">
        <f>IF($Z43="","",INDEX('Quy trinh'!$H$2:$H$300,$Z43)/100)</f>
        <v/>
      </c>
      <c r="K43" s="37">
        <f>IF($Z43="","",IF(INDEX('Quy trinh'!$I$2:$I$300,$Z43)="","",INDEX('Quy trinh'!$I$2:$I$300,$Z43)))</f>
        <v/>
      </c>
      <c r="L43" s="33" t="n"/>
      <c r="M43" s="33" t="n"/>
      <c r="N43" s="33" t="n"/>
      <c r="O43" s="33" t="n"/>
      <c r="P43" s="33" t="n"/>
      <c r="Q43" s="6" t="n"/>
      <c r="R43" s="6" t="n"/>
      <c r="S43" s="6" t="n"/>
      <c r="T43" s="6" t="n"/>
      <c r="U43" s="6" t="n"/>
      <c r="V43" s="6" t="n"/>
      <c r="W43" s="6" t="n"/>
      <c r="X43" s="6" t="n"/>
      <c r="Y43" s="6" t="n"/>
      <c r="Z43" s="39">
        <f t="array" ref="Z43">IFERROR(SMALL(IF(('Quy trinh'!$E$2:$E$300&lt;&gt;"Yes")*('Quy trinh'!$C$2:$C$300&lt;&gt;""),ROW('Quy trinh'!$A$2:$A$300)-1),33),"")</f>
        <v/>
      </c>
    </row>
    <row r="44" ht="28" customHeight="1">
      <c r="A44" s="6" t="n"/>
      <c r="B44" s="36">
        <f>IF($Z44="","",IF(INDEX('Quy trinh'!$A$2:$A$300,$Z44)="","",INDEX('Quy trinh'!$A$2:$A$300,$Z44)))</f>
        <v/>
      </c>
      <c r="C44" s="37">
        <f>IF($Z44="","",IF(INDEX('Quy trinh'!$C$2:$C$300,$Z44)="","",INDEX('Quy trinh'!$C$2:$C$300,$Z44)))</f>
        <v/>
      </c>
      <c r="D44" s="33" t="n"/>
      <c r="E44" s="33" t="n"/>
      <c r="F44" s="33" t="n"/>
      <c r="G44" s="37">
        <f>IF($Z44="","",IF(INDEX('Quy trinh'!$F$2:$F$300,$Z44)="","",INDEX('Quy trinh'!$F$2:$F$300,$Z44)))</f>
        <v/>
      </c>
      <c r="H44" s="33" t="n"/>
      <c r="I44" s="36">
        <f>IF($Z44="","",IF(INDEX('Quy trinh'!$G$2:$G$300,$Z44)="","",INDEX('Quy trinh'!$G$2:$G$300,$Z44)))</f>
        <v/>
      </c>
      <c r="J44" s="38">
        <f>IF($Z44="","",INDEX('Quy trinh'!$H$2:$H$300,$Z44)/100)</f>
        <v/>
      </c>
      <c r="K44" s="37">
        <f>IF($Z44="","",IF(INDEX('Quy trinh'!$I$2:$I$300,$Z44)="","",INDEX('Quy trinh'!$I$2:$I$300,$Z44)))</f>
        <v/>
      </c>
      <c r="L44" s="33" t="n"/>
      <c r="M44" s="33" t="n"/>
      <c r="N44" s="33" t="n"/>
      <c r="O44" s="33" t="n"/>
      <c r="P44" s="33" t="n"/>
      <c r="Q44" s="6" t="n"/>
      <c r="R44" s="6" t="n"/>
      <c r="S44" s="6" t="n"/>
      <c r="T44" s="6" t="n"/>
      <c r="U44" s="6" t="n"/>
      <c r="V44" s="6" t="n"/>
      <c r="W44" s="6" t="n"/>
      <c r="X44" s="6" t="n"/>
      <c r="Y44" s="6" t="n"/>
      <c r="Z44" s="39">
        <f t="array" ref="Z44">IFERROR(SMALL(IF(('Quy trinh'!$E$2:$E$300&lt;&gt;"Yes")*('Quy trinh'!$C$2:$C$300&lt;&gt;""),ROW('Quy trinh'!$A$2:$A$300)-1),34),"")</f>
        <v/>
      </c>
    </row>
    <row r="45" ht="28" customHeight="1">
      <c r="A45" s="6" t="n"/>
      <c r="B45" s="36">
        <f>IF($Z45="","",IF(INDEX('Quy trinh'!$A$2:$A$300,$Z45)="","",INDEX('Quy trinh'!$A$2:$A$300,$Z45)))</f>
        <v/>
      </c>
      <c r="C45" s="37">
        <f>IF($Z45="","",IF(INDEX('Quy trinh'!$C$2:$C$300,$Z45)="","",INDEX('Quy trinh'!$C$2:$C$300,$Z45)))</f>
        <v/>
      </c>
      <c r="D45" s="33" t="n"/>
      <c r="E45" s="33" t="n"/>
      <c r="F45" s="33" t="n"/>
      <c r="G45" s="37">
        <f>IF($Z45="","",IF(INDEX('Quy trinh'!$F$2:$F$300,$Z45)="","",INDEX('Quy trinh'!$F$2:$F$300,$Z45)))</f>
        <v/>
      </c>
      <c r="H45" s="33" t="n"/>
      <c r="I45" s="36">
        <f>IF($Z45="","",IF(INDEX('Quy trinh'!$G$2:$G$300,$Z45)="","",INDEX('Quy trinh'!$G$2:$G$300,$Z45)))</f>
        <v/>
      </c>
      <c r="J45" s="38">
        <f>IF($Z45="","",INDEX('Quy trinh'!$H$2:$H$300,$Z45)/100)</f>
        <v/>
      </c>
      <c r="K45" s="37">
        <f>IF($Z45="","",IF(INDEX('Quy trinh'!$I$2:$I$300,$Z45)="","",INDEX('Quy trinh'!$I$2:$I$300,$Z45)))</f>
        <v/>
      </c>
      <c r="L45" s="33" t="n"/>
      <c r="M45" s="33" t="n"/>
      <c r="N45" s="33" t="n"/>
      <c r="O45" s="33" t="n"/>
      <c r="P45" s="33" t="n"/>
      <c r="Q45" s="6" t="n"/>
      <c r="R45" s="6" t="n"/>
      <c r="S45" s="6" t="n"/>
      <c r="T45" s="6" t="n"/>
      <c r="U45" s="6" t="n"/>
      <c r="V45" s="6" t="n"/>
      <c r="W45" s="6" t="n"/>
      <c r="X45" s="6" t="n"/>
      <c r="Y45" s="6" t="n"/>
      <c r="Z45" s="39">
        <f t="array" ref="Z45">IFERROR(SMALL(IF(('Quy trinh'!$E$2:$E$300&lt;&gt;"Yes")*('Quy trinh'!$C$2:$C$300&lt;&gt;""),ROW('Quy trinh'!$A$2:$A$300)-1),35),"")</f>
        <v/>
      </c>
    </row>
    <row r="46" ht="28" customHeight="1">
      <c r="A46" s="6" t="n"/>
      <c r="B46" s="36">
        <f>IF($Z46="","",IF(INDEX('Quy trinh'!$A$2:$A$300,$Z46)="","",INDEX('Quy trinh'!$A$2:$A$300,$Z46)))</f>
        <v/>
      </c>
      <c r="C46" s="37">
        <f>IF($Z46="","",IF(INDEX('Quy trinh'!$C$2:$C$300,$Z46)="","",INDEX('Quy trinh'!$C$2:$C$300,$Z46)))</f>
        <v/>
      </c>
      <c r="D46" s="33" t="n"/>
      <c r="E46" s="33" t="n"/>
      <c r="F46" s="33" t="n"/>
      <c r="G46" s="37">
        <f>IF($Z46="","",IF(INDEX('Quy trinh'!$F$2:$F$300,$Z46)="","",INDEX('Quy trinh'!$F$2:$F$300,$Z46)))</f>
        <v/>
      </c>
      <c r="H46" s="33" t="n"/>
      <c r="I46" s="36">
        <f>IF($Z46="","",IF(INDEX('Quy trinh'!$G$2:$G$300,$Z46)="","",INDEX('Quy trinh'!$G$2:$G$300,$Z46)))</f>
        <v/>
      </c>
      <c r="J46" s="38">
        <f>IF($Z46="","",INDEX('Quy trinh'!$H$2:$H$300,$Z46)/100)</f>
        <v/>
      </c>
      <c r="K46" s="37">
        <f>IF($Z46="","",IF(INDEX('Quy trinh'!$I$2:$I$300,$Z46)="","",INDEX('Quy trinh'!$I$2:$I$300,$Z46)))</f>
        <v/>
      </c>
      <c r="L46" s="33" t="n"/>
      <c r="M46" s="33" t="n"/>
      <c r="N46" s="33" t="n"/>
      <c r="O46" s="33" t="n"/>
      <c r="P46" s="33" t="n"/>
      <c r="Q46" s="6" t="n"/>
      <c r="R46" s="6" t="n"/>
      <c r="S46" s="6" t="n"/>
      <c r="T46" s="6" t="n"/>
      <c r="U46" s="6" t="n"/>
      <c r="V46" s="6" t="n"/>
      <c r="W46" s="6" t="n"/>
      <c r="X46" s="6" t="n"/>
      <c r="Y46" s="6" t="n"/>
      <c r="Z46" s="39">
        <f t="array" ref="Z46">IFERROR(SMALL(IF(('Quy trinh'!$E$2:$E$300&lt;&gt;"Yes")*('Quy trinh'!$C$2:$C$300&lt;&gt;""),ROW('Quy trinh'!$A$2:$A$300)-1),36),"")</f>
        <v/>
      </c>
    </row>
    <row r="47" ht="28" customHeight="1">
      <c r="A47" s="6" t="n"/>
      <c r="B47" s="36">
        <f>IF($Z47="","",IF(INDEX('Quy trinh'!$A$2:$A$300,$Z47)="","",INDEX('Quy trinh'!$A$2:$A$300,$Z47)))</f>
        <v/>
      </c>
      <c r="C47" s="37">
        <f>IF($Z47="","",IF(INDEX('Quy trinh'!$C$2:$C$300,$Z47)="","",INDEX('Quy trinh'!$C$2:$C$300,$Z47)))</f>
        <v/>
      </c>
      <c r="D47" s="33" t="n"/>
      <c r="E47" s="33" t="n"/>
      <c r="F47" s="33" t="n"/>
      <c r="G47" s="37">
        <f>IF($Z47="","",IF(INDEX('Quy trinh'!$F$2:$F$300,$Z47)="","",INDEX('Quy trinh'!$F$2:$F$300,$Z47)))</f>
        <v/>
      </c>
      <c r="H47" s="33" t="n"/>
      <c r="I47" s="36">
        <f>IF($Z47="","",IF(INDEX('Quy trinh'!$G$2:$G$300,$Z47)="","",INDEX('Quy trinh'!$G$2:$G$300,$Z47)))</f>
        <v/>
      </c>
      <c r="J47" s="38">
        <f>IF($Z47="","",INDEX('Quy trinh'!$H$2:$H$300,$Z47)/100)</f>
        <v/>
      </c>
      <c r="K47" s="37">
        <f>IF($Z47="","",IF(INDEX('Quy trinh'!$I$2:$I$300,$Z47)="","",INDEX('Quy trinh'!$I$2:$I$300,$Z47)))</f>
        <v/>
      </c>
      <c r="L47" s="33" t="n"/>
      <c r="M47" s="33" t="n"/>
      <c r="N47" s="33" t="n"/>
      <c r="O47" s="33" t="n"/>
      <c r="P47" s="33" t="n"/>
      <c r="Q47" s="6" t="n"/>
      <c r="R47" s="6" t="n"/>
      <c r="S47" s="6" t="n"/>
      <c r="T47" s="6" t="n"/>
      <c r="U47" s="6" t="n"/>
      <c r="V47" s="6" t="n"/>
      <c r="W47" s="6" t="n"/>
      <c r="X47" s="6" t="n"/>
      <c r="Y47" s="6" t="n"/>
      <c r="Z47" s="39">
        <f t="array" ref="Z47">IFERROR(SMALL(IF(('Quy trinh'!$E$2:$E$300&lt;&gt;"Yes")*('Quy trinh'!$C$2:$C$300&lt;&gt;""),ROW('Quy trinh'!$A$2:$A$300)-1),37),"")</f>
        <v/>
      </c>
    </row>
    <row r="48" ht="28" customHeight="1">
      <c r="A48" s="6" t="n"/>
      <c r="B48" s="36">
        <f>IF($Z48="","",IF(INDEX('Quy trinh'!$A$2:$A$300,$Z48)="","",INDEX('Quy trinh'!$A$2:$A$300,$Z48)))</f>
        <v/>
      </c>
      <c r="C48" s="37">
        <f>IF($Z48="","",IF(INDEX('Quy trinh'!$C$2:$C$300,$Z48)="","",INDEX('Quy trinh'!$C$2:$C$300,$Z48)))</f>
        <v/>
      </c>
      <c r="D48" s="33" t="n"/>
      <c r="E48" s="33" t="n"/>
      <c r="F48" s="33" t="n"/>
      <c r="G48" s="37">
        <f>IF($Z48="","",IF(INDEX('Quy trinh'!$F$2:$F$300,$Z48)="","",INDEX('Quy trinh'!$F$2:$F$300,$Z48)))</f>
        <v/>
      </c>
      <c r="H48" s="33" t="n"/>
      <c r="I48" s="36">
        <f>IF($Z48="","",IF(INDEX('Quy trinh'!$G$2:$G$300,$Z48)="","",INDEX('Quy trinh'!$G$2:$G$300,$Z48)))</f>
        <v/>
      </c>
      <c r="J48" s="38">
        <f>IF($Z48="","",INDEX('Quy trinh'!$H$2:$H$300,$Z48)/100)</f>
        <v/>
      </c>
      <c r="K48" s="37">
        <f>IF($Z48="","",IF(INDEX('Quy trinh'!$I$2:$I$300,$Z48)="","",INDEX('Quy trinh'!$I$2:$I$300,$Z48)))</f>
        <v/>
      </c>
      <c r="L48" s="33" t="n"/>
      <c r="M48" s="33" t="n"/>
      <c r="N48" s="33" t="n"/>
      <c r="O48" s="33" t="n"/>
      <c r="P48" s="33" t="n"/>
      <c r="Q48" s="6" t="n"/>
      <c r="R48" s="6" t="n"/>
      <c r="S48" s="6" t="n"/>
      <c r="T48" s="6" t="n"/>
      <c r="U48" s="6" t="n"/>
      <c r="V48" s="6" t="n"/>
      <c r="W48" s="6" t="n"/>
      <c r="X48" s="6" t="n"/>
      <c r="Y48" s="6" t="n"/>
      <c r="Z48" s="39">
        <f t="array" ref="Z48">IFERROR(SMALL(IF(('Quy trinh'!$E$2:$E$300&lt;&gt;"Yes")*('Quy trinh'!$C$2:$C$300&lt;&gt;""),ROW('Quy trinh'!$A$2:$A$300)-1),38),"")</f>
        <v/>
      </c>
    </row>
    <row r="49" ht="28" customHeight="1">
      <c r="A49" s="6" t="n"/>
      <c r="B49" s="36">
        <f>IF($Z49="","",IF(INDEX('Quy trinh'!$A$2:$A$300,$Z49)="","",INDEX('Quy trinh'!$A$2:$A$300,$Z49)))</f>
        <v/>
      </c>
      <c r="C49" s="37">
        <f>IF($Z49="","",IF(INDEX('Quy trinh'!$C$2:$C$300,$Z49)="","",INDEX('Quy trinh'!$C$2:$C$300,$Z49)))</f>
        <v/>
      </c>
      <c r="D49" s="33" t="n"/>
      <c r="E49" s="33" t="n"/>
      <c r="F49" s="33" t="n"/>
      <c r="G49" s="37">
        <f>IF($Z49="","",IF(INDEX('Quy trinh'!$F$2:$F$300,$Z49)="","",INDEX('Quy trinh'!$F$2:$F$300,$Z49)))</f>
        <v/>
      </c>
      <c r="H49" s="33" t="n"/>
      <c r="I49" s="36">
        <f>IF($Z49="","",IF(INDEX('Quy trinh'!$G$2:$G$300,$Z49)="","",INDEX('Quy trinh'!$G$2:$G$300,$Z49)))</f>
        <v/>
      </c>
      <c r="J49" s="38">
        <f>IF($Z49="","",INDEX('Quy trinh'!$H$2:$H$300,$Z49)/100)</f>
        <v/>
      </c>
      <c r="K49" s="37">
        <f>IF($Z49="","",IF(INDEX('Quy trinh'!$I$2:$I$300,$Z49)="","",INDEX('Quy trinh'!$I$2:$I$300,$Z49)))</f>
        <v/>
      </c>
      <c r="L49" s="33" t="n"/>
      <c r="M49" s="33" t="n"/>
      <c r="N49" s="33" t="n"/>
      <c r="O49" s="33" t="n"/>
      <c r="P49" s="33" t="n"/>
      <c r="Q49" s="6" t="n"/>
      <c r="R49" s="6" t="n"/>
      <c r="S49" s="6" t="n"/>
      <c r="T49" s="6" t="n"/>
      <c r="U49" s="6" t="n"/>
      <c r="V49" s="6" t="n"/>
      <c r="W49" s="6" t="n"/>
      <c r="X49" s="6" t="n"/>
      <c r="Y49" s="6" t="n"/>
      <c r="Z49" s="39">
        <f t="array" ref="Z49">IFERROR(SMALL(IF(('Quy trinh'!$E$2:$E$300&lt;&gt;"Yes")*('Quy trinh'!$C$2:$C$300&lt;&gt;""),ROW('Quy trinh'!$A$2:$A$300)-1),39),"")</f>
        <v/>
      </c>
    </row>
    <row r="50" ht="28" customHeight="1">
      <c r="A50" s="6" t="n"/>
      <c r="B50" s="36">
        <f>IF($Z50="","",IF(INDEX('Quy trinh'!$A$2:$A$300,$Z50)="","",INDEX('Quy trinh'!$A$2:$A$300,$Z50)))</f>
        <v/>
      </c>
      <c r="C50" s="37">
        <f>IF($Z50="","",IF(INDEX('Quy trinh'!$C$2:$C$300,$Z50)="","",INDEX('Quy trinh'!$C$2:$C$300,$Z50)))</f>
        <v/>
      </c>
      <c r="D50" s="33" t="n"/>
      <c r="E50" s="33" t="n"/>
      <c r="F50" s="33" t="n"/>
      <c r="G50" s="37">
        <f>IF($Z50="","",IF(INDEX('Quy trinh'!$F$2:$F$300,$Z50)="","",INDEX('Quy trinh'!$F$2:$F$300,$Z50)))</f>
        <v/>
      </c>
      <c r="H50" s="33" t="n"/>
      <c r="I50" s="36">
        <f>IF($Z50="","",IF(INDEX('Quy trinh'!$G$2:$G$300,$Z50)="","",INDEX('Quy trinh'!$G$2:$G$300,$Z50)))</f>
        <v/>
      </c>
      <c r="J50" s="38">
        <f>IF($Z50="","",INDEX('Quy trinh'!$H$2:$H$300,$Z50)/100)</f>
        <v/>
      </c>
      <c r="K50" s="37">
        <f>IF($Z50="","",IF(INDEX('Quy trinh'!$I$2:$I$300,$Z50)="","",INDEX('Quy trinh'!$I$2:$I$300,$Z50)))</f>
        <v/>
      </c>
      <c r="L50" s="33" t="n"/>
      <c r="M50" s="33" t="n"/>
      <c r="N50" s="33" t="n"/>
      <c r="O50" s="33" t="n"/>
      <c r="P50" s="33" t="n"/>
      <c r="Q50" s="6" t="n"/>
      <c r="R50" s="6" t="n"/>
      <c r="S50" s="6" t="n"/>
      <c r="T50" s="6" t="n"/>
      <c r="U50" s="6" t="n"/>
      <c r="V50" s="6" t="n"/>
      <c r="W50" s="6" t="n"/>
      <c r="X50" s="6" t="n"/>
      <c r="Y50" s="6" t="n"/>
      <c r="Z50" s="39">
        <f t="array" ref="Z50">IFERROR(SMALL(IF(('Quy trinh'!$E$2:$E$300&lt;&gt;"Yes")*('Quy trinh'!$C$2:$C$300&lt;&gt;""),ROW('Quy trinh'!$A$2:$A$300)-1),40),"")</f>
        <v/>
      </c>
    </row>
    <row r="51">
      <c r="A51" s="6" t="n"/>
      <c r="B51" s="6" t="n"/>
      <c r="C51" s="6" t="n"/>
      <c r="D51" s="6" t="n"/>
      <c r="E51" s="6" t="n"/>
      <c r="F51" s="6" t="n"/>
      <c r="G51" s="6" t="n"/>
      <c r="H51" s="6" t="n"/>
      <c r="I51" s="6" t="n"/>
      <c r="J51" s="6" t="n"/>
      <c r="K51" s="6" t="n"/>
      <c r="L51" s="6" t="n"/>
      <c r="M51" s="6" t="n"/>
      <c r="N51" s="6" t="n"/>
      <c r="O51" s="6" t="n"/>
      <c r="P51" s="6" t="n"/>
      <c r="Q51" s="6" t="n"/>
      <c r="R51" s="6" t="n"/>
      <c r="S51" s="6" t="n"/>
      <c r="T51" s="6" t="n"/>
      <c r="U51" s="6" t="n"/>
      <c r="V51" s="6" t="n"/>
      <c r="W51" s="6" t="n"/>
      <c r="X51" s="6" t="n"/>
      <c r="Y51" s="6" t="n"/>
      <c r="Z51" s="6" t="n"/>
    </row>
    <row r="52">
      <c r="A52" s="6" t="n"/>
      <c r="B52" s="6" t="n"/>
      <c r="C52" s="6" t="n"/>
      <c r="D52" s="6" t="n"/>
      <c r="E52" s="6" t="n"/>
      <c r="F52" s="6" t="n"/>
      <c r="G52" s="6" t="n"/>
      <c r="H52" s="6" t="n"/>
      <c r="I52" s="6" t="n"/>
      <c r="J52" s="6" t="n"/>
      <c r="K52" s="6" t="n"/>
      <c r="L52" s="6" t="n"/>
      <c r="M52" s="6" t="n"/>
      <c r="N52" s="6" t="n"/>
      <c r="O52" s="6" t="n"/>
      <c r="P52" s="6" t="n"/>
      <c r="Q52" s="6" t="n"/>
      <c r="R52" s="6" t="n"/>
      <c r="S52" s="6" t="n"/>
      <c r="T52" s="6" t="n"/>
      <c r="U52" s="6" t="n"/>
      <c r="V52" s="6" t="n"/>
      <c r="W52" s="6" t="n"/>
      <c r="X52" s="6" t="n"/>
      <c r="Y52" s="6" t="n"/>
      <c r="Z52" s="6" t="n"/>
    </row>
    <row r="53">
      <c r="A53" s="6" t="n"/>
      <c r="B53" s="6" t="n"/>
      <c r="C53" s="6" t="n"/>
      <c r="D53" s="6" t="n"/>
      <c r="E53" s="6" t="n"/>
      <c r="F53" s="6" t="n"/>
      <c r="G53" s="6" t="n"/>
      <c r="H53" s="6" t="n"/>
      <c r="I53" s="6" t="n"/>
      <c r="J53" s="6" t="n"/>
      <c r="K53" s="6" t="n"/>
      <c r="L53" s="6" t="n"/>
      <c r="M53" s="6" t="n"/>
      <c r="N53" s="6" t="n"/>
      <c r="O53" s="6" t="n"/>
      <c r="P53" s="6" t="n"/>
      <c r="Q53" s="6" t="n"/>
      <c r="R53" s="6" t="n"/>
      <c r="S53" s="6" t="n"/>
      <c r="T53" s="6" t="n"/>
      <c r="U53" s="6" t="n"/>
      <c r="V53" s="6" t="n"/>
      <c r="W53" s="6" t="n"/>
      <c r="X53" s="6" t="n"/>
      <c r="Y53" s="6" t="n"/>
      <c r="Z53" s="6" t="n"/>
    </row>
    <row r="54">
      <c r="A54" s="6" t="n"/>
      <c r="B54" s="6" t="n"/>
      <c r="C54" s="6" t="n"/>
      <c r="D54" s="6" t="n"/>
      <c r="E54" s="6" t="n"/>
      <c r="F54" s="6" t="n"/>
      <c r="G54" s="6" t="n"/>
      <c r="H54" s="6" t="n"/>
      <c r="I54" s="6" t="n"/>
      <c r="J54" s="6" t="n"/>
      <c r="K54" s="6" t="n"/>
      <c r="L54" s="6" t="n"/>
      <c r="M54" s="6" t="n"/>
      <c r="N54" s="6" t="n"/>
      <c r="O54" s="6" t="n"/>
      <c r="P54" s="6" t="n"/>
      <c r="Q54" s="6" t="n"/>
      <c r="R54" s="6" t="n"/>
      <c r="S54" s="6" t="n"/>
      <c r="T54" s="6" t="n"/>
      <c r="U54" s="6" t="n"/>
      <c r="V54" s="6" t="n"/>
      <c r="W54" s="6" t="n"/>
      <c r="X54" s="6" t="n"/>
      <c r="Y54" s="6" t="n"/>
      <c r="Z54" s="6" t="n"/>
    </row>
    <row r="55">
      <c r="A55" s="6" t="n"/>
      <c r="B55" s="6" t="n"/>
      <c r="C55" s="6" t="n"/>
      <c r="D55" s="6" t="n"/>
      <c r="E55" s="6" t="n"/>
      <c r="F55" s="6" t="n"/>
      <c r="G55" s="6" t="n"/>
      <c r="H55" s="6" t="n"/>
      <c r="I55" s="6" t="n"/>
      <c r="J55" s="6" t="n"/>
      <c r="K55" s="6" t="n"/>
      <c r="L55" s="6" t="n"/>
      <c r="M55" s="6" t="n"/>
      <c r="N55" s="6" t="n"/>
      <c r="O55" s="6" t="n"/>
      <c r="P55" s="6" t="n"/>
      <c r="Q55" s="6" t="n"/>
      <c r="R55" s="6" t="n"/>
      <c r="S55" s="6" t="n"/>
      <c r="T55" s="6" t="n"/>
      <c r="U55" s="6" t="n"/>
      <c r="V55" s="6" t="n"/>
      <c r="W55" s="6" t="n"/>
      <c r="X55" s="6" t="n"/>
      <c r="Y55" s="6" t="n"/>
      <c r="Z55" s="6" t="n"/>
    </row>
    <row r="56">
      <c r="A56" s="6" t="n"/>
      <c r="B56" s="6" t="n"/>
      <c r="C56" s="6" t="n"/>
      <c r="D56" s="6" t="n"/>
      <c r="E56" s="6" t="n"/>
      <c r="F56" s="6" t="n"/>
      <c r="G56" s="6" t="n"/>
      <c r="H56" s="6" t="n"/>
      <c r="I56" s="6" t="n"/>
      <c r="J56" s="6" t="n"/>
      <c r="K56" s="6" t="n"/>
      <c r="L56" s="6" t="n"/>
      <c r="M56" s="6" t="n"/>
      <c r="N56" s="6" t="n"/>
      <c r="O56" s="6" t="n"/>
      <c r="P56" s="6" t="n"/>
      <c r="Q56" s="6" t="n"/>
      <c r="R56" s="6" t="n"/>
      <c r="S56" s="6" t="n"/>
      <c r="T56" s="6" t="n"/>
      <c r="U56" s="6" t="n"/>
      <c r="V56" s="6" t="n"/>
      <c r="W56" s="6" t="n"/>
      <c r="X56" s="6" t="n"/>
      <c r="Y56" s="6" t="n"/>
      <c r="Z56" s="6" t="n"/>
    </row>
    <row r="57">
      <c r="A57" s="6" t="n"/>
      <c r="B57" s="6" t="n"/>
      <c r="C57" s="6" t="n"/>
      <c r="D57" s="6" t="n"/>
      <c r="E57" s="6" t="n"/>
      <c r="F57" s="6" t="n"/>
      <c r="G57" s="6" t="n"/>
      <c r="H57" s="6" t="n"/>
      <c r="I57" s="6" t="n"/>
      <c r="J57" s="6" t="n"/>
      <c r="K57" s="6" t="n"/>
      <c r="L57" s="6" t="n"/>
      <c r="M57" s="6" t="n"/>
      <c r="N57" s="6" t="n"/>
      <c r="O57" s="6" t="n"/>
      <c r="P57" s="6" t="n"/>
      <c r="Q57" s="6" t="n"/>
      <c r="R57" s="6" t="n"/>
      <c r="S57" s="6" t="n"/>
      <c r="T57" s="6" t="n"/>
      <c r="U57" s="6" t="n"/>
      <c r="V57" s="6" t="n"/>
      <c r="W57" s="6" t="n"/>
      <c r="X57" s="6" t="n"/>
      <c r="Y57" s="6" t="n"/>
      <c r="Z57" s="6" t="n"/>
    </row>
    <row r="58">
      <c r="A58" s="6" t="n"/>
      <c r="B58" s="6" t="n"/>
      <c r="C58" s="6" t="n"/>
      <c r="D58" s="6" t="n"/>
      <c r="E58" s="6" t="n"/>
      <c r="F58" s="6" t="n"/>
      <c r="G58" s="6" t="n"/>
      <c r="H58" s="6" t="n"/>
      <c r="I58" s="6" t="n"/>
      <c r="J58" s="6" t="n"/>
      <c r="K58" s="6" t="n"/>
      <c r="L58" s="6" t="n"/>
      <c r="M58" s="6" t="n"/>
      <c r="N58" s="6" t="n"/>
      <c r="O58" s="6" t="n"/>
      <c r="P58" s="6" t="n"/>
      <c r="Q58" s="6" t="n"/>
      <c r="R58" s="6" t="n"/>
      <c r="S58" s="6" t="n"/>
      <c r="T58" s="6" t="n"/>
      <c r="U58" s="6" t="n"/>
      <c r="V58" s="6" t="n"/>
      <c r="W58" s="6" t="n"/>
      <c r="X58" s="6" t="n"/>
      <c r="Y58" s="6" t="n"/>
      <c r="Z58" s="6" t="n"/>
    </row>
    <row r="59">
      <c r="A59" s="6" t="n"/>
      <c r="B59" s="6" t="n"/>
      <c r="C59" s="6" t="n"/>
      <c r="D59" s="6" t="n"/>
      <c r="E59" s="6" t="n"/>
      <c r="F59" s="6" t="n"/>
      <c r="G59" s="6" t="n"/>
      <c r="H59" s="6" t="n"/>
      <c r="I59" s="6" t="n"/>
      <c r="J59" s="6" t="n"/>
      <c r="K59" s="6" t="n"/>
      <c r="L59" s="6" t="n"/>
      <c r="M59" s="6" t="n"/>
      <c r="N59" s="6" t="n"/>
      <c r="O59" s="6" t="n"/>
      <c r="P59" s="6" t="n"/>
      <c r="Q59" s="6" t="n"/>
      <c r="R59" s="6" t="n"/>
      <c r="S59" s="6" t="n"/>
      <c r="T59" s="6" t="n"/>
      <c r="U59" s="6" t="n"/>
      <c r="V59" s="6" t="n"/>
      <c r="W59" s="6" t="n"/>
      <c r="X59" s="6" t="n"/>
      <c r="Y59" s="6" t="n"/>
      <c r="Z59" s="6" t="n"/>
    </row>
    <row r="60">
      <c r="A60" s="6" t="n"/>
      <c r="B60" s="6" t="n"/>
      <c r="C60" s="6" t="n"/>
      <c r="D60" s="6" t="n"/>
      <c r="E60" s="6" t="n"/>
      <c r="F60" s="6" t="n"/>
      <c r="G60" s="6" t="n"/>
      <c r="H60" s="6" t="n"/>
      <c r="I60" s="6" t="n"/>
      <c r="J60" s="6" t="n"/>
      <c r="K60" s="6" t="n"/>
      <c r="L60" s="6" t="n"/>
      <c r="M60" s="6" t="n"/>
      <c r="N60" s="6" t="n"/>
      <c r="O60" s="6" t="n"/>
      <c r="P60" s="6" t="n"/>
      <c r="Q60" s="6" t="n"/>
      <c r="R60" s="6" t="n"/>
      <c r="S60" s="6" t="n"/>
      <c r="T60" s="6" t="n"/>
      <c r="U60" s="6" t="n"/>
      <c r="V60" s="6" t="n"/>
      <c r="W60" s="6" t="n"/>
      <c r="X60" s="6" t="n"/>
      <c r="Y60" s="6" t="n"/>
      <c r="Z60" s="6" t="n"/>
    </row>
    <row r="61">
      <c r="A61" s="6" t="n"/>
      <c r="B61" s="6" t="n"/>
      <c r="C61" s="6" t="n"/>
      <c r="D61" s="6" t="n"/>
      <c r="E61" s="6" t="n"/>
      <c r="F61" s="6" t="n"/>
      <c r="G61" s="6" t="n"/>
      <c r="H61" s="6" t="n"/>
      <c r="I61" s="6" t="n"/>
      <c r="J61" s="6" t="n"/>
      <c r="K61" s="6" t="n"/>
      <c r="L61" s="6" t="n"/>
      <c r="M61" s="6" t="n"/>
      <c r="N61" s="6" t="n"/>
      <c r="O61" s="6" t="n"/>
      <c r="P61" s="6" t="n"/>
      <c r="Q61" s="6" t="n"/>
      <c r="R61" s="6" t="n"/>
      <c r="S61" s="6" t="n"/>
      <c r="T61" s="6" t="n"/>
      <c r="U61" s="6" t="n"/>
      <c r="V61" s="6" t="n"/>
      <c r="W61" s="6" t="n"/>
      <c r="X61" s="6" t="n"/>
      <c r="Y61" s="6" t="n"/>
      <c r="Z61" s="6" t="n"/>
    </row>
    <row r="62">
      <c r="A62" s="6" t="n"/>
      <c r="B62" s="6" t="n"/>
      <c r="C62" s="6" t="n"/>
      <c r="D62" s="6" t="n"/>
      <c r="E62" s="6" t="n"/>
      <c r="F62" s="6" t="n"/>
      <c r="G62" s="6" t="n"/>
      <c r="H62" s="6" t="n"/>
      <c r="I62" s="6" t="n"/>
      <c r="J62" s="6" t="n"/>
      <c r="K62" s="6" t="n"/>
      <c r="L62" s="6" t="n"/>
      <c r="M62" s="6" t="n"/>
      <c r="N62" s="6" t="n"/>
      <c r="O62" s="6" t="n"/>
      <c r="P62" s="6" t="n"/>
      <c r="Q62" s="6" t="n"/>
      <c r="R62" s="6" t="n"/>
      <c r="S62" s="6" t="n"/>
      <c r="T62" s="6" t="n"/>
      <c r="U62" s="6" t="n"/>
      <c r="V62" s="6" t="n"/>
      <c r="W62" s="6" t="n"/>
      <c r="X62" s="6" t="n"/>
      <c r="Y62" s="6" t="n"/>
      <c r="Z62" s="6" t="n"/>
    </row>
    <row r="63">
      <c r="A63" s="6" t="n"/>
      <c r="B63" s="6" t="n"/>
      <c r="C63" s="6" t="n"/>
      <c r="D63" s="6" t="n"/>
      <c r="E63" s="6" t="n"/>
      <c r="F63" s="6" t="n"/>
      <c r="G63" s="6" t="n"/>
      <c r="H63" s="6" t="n"/>
      <c r="I63" s="6" t="n"/>
      <c r="J63" s="6" t="n"/>
      <c r="K63" s="6" t="n"/>
      <c r="L63" s="6" t="n"/>
      <c r="M63" s="6" t="n"/>
      <c r="N63" s="6" t="n"/>
      <c r="O63" s="6" t="n"/>
      <c r="P63" s="6" t="n"/>
      <c r="Q63" s="6" t="n"/>
      <c r="R63" s="6" t="n"/>
      <c r="S63" s="6" t="n"/>
      <c r="T63" s="6" t="n"/>
      <c r="U63" s="6" t="n"/>
      <c r="V63" s="6" t="n"/>
      <c r="W63" s="6" t="n"/>
      <c r="X63" s="6" t="n"/>
      <c r="Y63" s="6" t="n"/>
      <c r="Z63" s="6" t="n"/>
    </row>
    <row r="64">
      <c r="A64" s="6" t="n"/>
      <c r="B64" s="6" t="n"/>
      <c r="C64" s="6" t="n"/>
      <c r="D64" s="6" t="n"/>
      <c r="E64" s="6" t="n"/>
      <c r="F64" s="6" t="n"/>
      <c r="G64" s="6" t="n"/>
      <c r="H64" s="6" t="n"/>
      <c r="I64" s="6" t="n"/>
      <c r="J64" s="6" t="n"/>
      <c r="K64" s="6" t="n"/>
      <c r="L64" s="6" t="n"/>
      <c r="M64" s="6" t="n"/>
      <c r="N64" s="6" t="n"/>
      <c r="O64" s="6" t="n"/>
      <c r="P64" s="6" t="n"/>
      <c r="Q64" s="6" t="n"/>
      <c r="R64" s="6" t="n"/>
      <c r="S64" s="6" t="n"/>
      <c r="T64" s="6" t="n"/>
      <c r="U64" s="6" t="n"/>
      <c r="V64" s="6" t="n"/>
      <c r="W64" s="6" t="n"/>
      <c r="X64" s="6" t="n"/>
      <c r="Y64" s="6" t="n"/>
      <c r="Z64" s="6" t="n"/>
    </row>
    <row r="65">
      <c r="A65" s="6" t="n"/>
      <c r="B65" s="6" t="n"/>
      <c r="C65" s="6" t="n"/>
      <c r="D65" s="6" t="n"/>
      <c r="E65" s="6" t="n"/>
      <c r="F65" s="6" t="n"/>
      <c r="G65" s="6" t="n"/>
      <c r="H65" s="6" t="n"/>
      <c r="I65" s="6" t="n"/>
      <c r="J65" s="6" t="n"/>
      <c r="K65" s="6" t="n"/>
      <c r="L65" s="6" t="n"/>
      <c r="M65" s="6" t="n"/>
      <c r="N65" s="6" t="n"/>
      <c r="O65" s="6" t="n"/>
      <c r="P65" s="6" t="n"/>
      <c r="Q65" s="6" t="n"/>
      <c r="R65" s="6" t="n"/>
      <c r="S65" s="6" t="n"/>
      <c r="T65" s="6" t="n"/>
      <c r="U65" s="6" t="n"/>
      <c r="V65" s="6" t="n"/>
      <c r="W65" s="6" t="n"/>
      <c r="X65" s="6" t="n"/>
      <c r="Y65" s="6" t="n"/>
      <c r="Z65" s="6" t="n"/>
    </row>
    <row r="66">
      <c r="A66" s="6" t="n"/>
      <c r="B66" s="6" t="n"/>
      <c r="C66" s="6" t="n"/>
      <c r="D66" s="6" t="n"/>
      <c r="E66" s="6" t="n"/>
      <c r="F66" s="6" t="n"/>
      <c r="G66" s="6" t="n"/>
      <c r="H66" s="6" t="n"/>
      <c r="I66" s="6" t="n"/>
      <c r="J66" s="6" t="n"/>
      <c r="K66" s="6" t="n"/>
      <c r="L66" s="6" t="n"/>
      <c r="M66" s="6" t="n"/>
      <c r="N66" s="6" t="n"/>
      <c r="O66" s="6" t="n"/>
      <c r="P66" s="6" t="n"/>
      <c r="Q66" s="6" t="n"/>
      <c r="R66" s="6" t="n"/>
      <c r="S66" s="6" t="n"/>
      <c r="T66" s="6" t="n"/>
      <c r="U66" s="6" t="n"/>
      <c r="V66" s="6" t="n"/>
      <c r="W66" s="6" t="n"/>
      <c r="X66" s="6" t="n"/>
      <c r="Y66" s="6" t="n"/>
      <c r="Z66" s="6" t="n"/>
    </row>
    <row r="67">
      <c r="A67" s="6" t="n"/>
      <c r="B67" s="6" t="n"/>
      <c r="C67" s="6" t="n"/>
      <c r="D67" s="6" t="n"/>
      <c r="E67" s="6" t="n"/>
      <c r="F67" s="6" t="n"/>
      <c r="G67" s="6" t="n"/>
      <c r="H67" s="6" t="n"/>
      <c r="I67" s="6" t="n"/>
      <c r="J67" s="6" t="n"/>
      <c r="K67" s="6" t="n"/>
      <c r="L67" s="6" t="n"/>
      <c r="M67" s="6" t="n"/>
      <c r="N67" s="6" t="n"/>
      <c r="O67" s="6" t="n"/>
      <c r="P67" s="6" t="n"/>
      <c r="Q67" s="6" t="n"/>
      <c r="R67" s="6" t="n"/>
      <c r="S67" s="6" t="n"/>
      <c r="T67" s="6" t="n"/>
      <c r="U67" s="6" t="n"/>
      <c r="V67" s="6" t="n"/>
      <c r="W67" s="6" t="n"/>
      <c r="X67" s="6" t="n"/>
      <c r="Y67" s="6" t="n"/>
      <c r="Z67" s="6" t="n"/>
    </row>
    <row r="68">
      <c r="A68" s="6" t="n"/>
      <c r="B68" s="6" t="n"/>
      <c r="C68" s="6" t="n"/>
      <c r="D68" s="6" t="n"/>
      <c r="E68" s="6" t="n"/>
      <c r="F68" s="6" t="n"/>
      <c r="G68" s="6" t="n"/>
      <c r="H68" s="6" t="n"/>
      <c r="I68" s="6" t="n"/>
      <c r="J68" s="6" t="n"/>
      <c r="K68" s="6" t="n"/>
      <c r="L68" s="6" t="n"/>
      <c r="M68" s="6" t="n"/>
      <c r="N68" s="6" t="n"/>
      <c r="O68" s="6" t="n"/>
      <c r="P68" s="6" t="n"/>
      <c r="Q68" s="6" t="n"/>
      <c r="R68" s="6" t="n"/>
      <c r="S68" s="6" t="n"/>
      <c r="T68" s="6" t="n"/>
      <c r="U68" s="6" t="n"/>
      <c r="V68" s="6" t="n"/>
      <c r="W68" s="6" t="n"/>
      <c r="X68" s="6" t="n"/>
      <c r="Y68" s="6" t="n"/>
      <c r="Z68" s="6" t="n"/>
    </row>
    <row r="69">
      <c r="A69" s="6" t="n"/>
      <c r="B69" s="6" t="n"/>
      <c r="C69" s="6" t="n"/>
      <c r="D69" s="6" t="n"/>
      <c r="E69" s="6" t="n"/>
      <c r="F69" s="6" t="n"/>
      <c r="G69" s="6" t="n"/>
      <c r="H69" s="6" t="n"/>
      <c r="I69" s="6" t="n"/>
      <c r="J69" s="6" t="n"/>
      <c r="K69" s="6" t="n"/>
      <c r="L69" s="6" t="n"/>
      <c r="M69" s="6" t="n"/>
      <c r="N69" s="6" t="n"/>
      <c r="O69" s="6" t="n"/>
      <c r="P69" s="6" t="n"/>
      <c r="Q69" s="6" t="n"/>
      <c r="R69" s="6" t="n"/>
      <c r="S69" s="6" t="n"/>
      <c r="T69" s="6" t="n"/>
      <c r="U69" s="6" t="n"/>
      <c r="V69" s="6" t="n"/>
      <c r="W69" s="6" t="n"/>
      <c r="X69" s="6" t="n"/>
      <c r="Y69" s="6" t="n"/>
      <c r="Z69" s="6" t="n"/>
    </row>
    <row r="70">
      <c r="A70" s="6" t="n"/>
      <c r="B70" s="6" t="n"/>
      <c r="C70" s="6" t="n"/>
      <c r="D70" s="6" t="n"/>
      <c r="E70" s="6" t="n"/>
      <c r="F70" s="6" t="n"/>
      <c r="G70" s="6" t="n"/>
      <c r="H70" s="6" t="n"/>
      <c r="I70" s="6" t="n"/>
      <c r="J70" s="6" t="n"/>
      <c r="K70" s="6" t="n"/>
      <c r="L70" s="6" t="n"/>
      <c r="M70" s="6" t="n"/>
      <c r="N70" s="6" t="n"/>
      <c r="O70" s="6" t="n"/>
      <c r="P70" s="6" t="n"/>
      <c r="Q70" s="6" t="n"/>
      <c r="R70" s="6" t="n"/>
      <c r="S70" s="6" t="n"/>
      <c r="T70" s="6" t="n"/>
      <c r="U70" s="6" t="n"/>
      <c r="V70" s="6" t="n"/>
      <c r="W70" s="6" t="n"/>
      <c r="X70" s="6" t="n"/>
      <c r="Y70" s="6" t="n"/>
      <c r="Z70" s="6" t="n"/>
    </row>
    <row r="71">
      <c r="A71" s="6" t="n"/>
      <c r="B71" s="6" t="n"/>
      <c r="C71" s="6" t="n"/>
      <c r="D71" s="6" t="n"/>
      <c r="E71" s="6" t="n"/>
      <c r="F71" s="6" t="n"/>
      <c r="G71" s="6" t="n"/>
      <c r="H71" s="6" t="n"/>
      <c r="I71" s="6" t="n"/>
      <c r="J71" s="6" t="n"/>
      <c r="K71" s="6" t="n"/>
      <c r="L71" s="6" t="n"/>
      <c r="M71" s="6" t="n"/>
      <c r="N71" s="6" t="n"/>
      <c r="O71" s="6" t="n"/>
      <c r="P71" s="6" t="n"/>
      <c r="Q71" s="6" t="n"/>
      <c r="R71" s="6" t="n"/>
      <c r="S71" s="6" t="n"/>
      <c r="T71" s="6" t="n"/>
      <c r="U71" s="6" t="n"/>
      <c r="V71" s="6" t="n"/>
      <c r="W71" s="6" t="n"/>
      <c r="X71" s="6" t="n"/>
      <c r="Y71" s="6" t="n"/>
      <c r="Z71" s="6" t="n"/>
    </row>
    <row r="72">
      <c r="A72" s="6" t="n"/>
      <c r="B72" s="6" t="n"/>
      <c r="C72" s="6" t="n"/>
      <c r="D72" s="6" t="n"/>
      <c r="E72" s="6" t="n"/>
      <c r="F72" s="6" t="n"/>
      <c r="G72" s="6" t="n"/>
      <c r="H72" s="6" t="n"/>
      <c r="I72" s="6" t="n"/>
      <c r="J72" s="6" t="n"/>
      <c r="K72" s="6" t="n"/>
      <c r="L72" s="6" t="n"/>
      <c r="M72" s="6" t="n"/>
      <c r="N72" s="6" t="n"/>
      <c r="O72" s="6" t="n"/>
      <c r="P72" s="6" t="n"/>
      <c r="Q72" s="6" t="n"/>
      <c r="R72" s="6" t="n"/>
      <c r="S72" s="6" t="n"/>
      <c r="T72" s="6" t="n"/>
      <c r="U72" s="6" t="n"/>
      <c r="V72" s="6" t="n"/>
      <c r="W72" s="6" t="n"/>
      <c r="X72" s="6" t="n"/>
      <c r="Y72" s="6" t="n"/>
      <c r="Z72" s="6" t="n"/>
    </row>
    <row r="73">
      <c r="A73" s="6" t="n"/>
      <c r="B73" s="6" t="n"/>
      <c r="C73" s="6" t="n"/>
      <c r="D73" s="6" t="n"/>
      <c r="E73" s="6" t="n"/>
      <c r="F73" s="6" t="n"/>
      <c r="G73" s="6" t="n"/>
      <c r="H73" s="6" t="n"/>
      <c r="I73" s="6" t="n"/>
      <c r="J73" s="6" t="n"/>
      <c r="K73" s="6" t="n"/>
      <c r="L73" s="6" t="n"/>
      <c r="M73" s="6" t="n"/>
      <c r="N73" s="6" t="n"/>
      <c r="O73" s="6" t="n"/>
      <c r="P73" s="6" t="n"/>
      <c r="Q73" s="6" t="n"/>
      <c r="R73" s="6" t="n"/>
      <c r="S73" s="6" t="n"/>
      <c r="T73" s="6" t="n"/>
      <c r="U73" s="6" t="n"/>
      <c r="V73" s="6" t="n"/>
      <c r="W73" s="6" t="n"/>
      <c r="X73" s="6" t="n"/>
      <c r="Y73" s="6" t="n"/>
      <c r="Z73" s="6" t="n"/>
    </row>
    <row r="74">
      <c r="A74" s="6" t="n"/>
      <c r="B74" s="6" t="n"/>
      <c r="C74" s="6" t="n"/>
      <c r="D74" s="6" t="n"/>
      <c r="E74" s="6" t="n"/>
      <c r="F74" s="6" t="n"/>
      <c r="G74" s="6" t="n"/>
      <c r="H74" s="6" t="n"/>
      <c r="I74" s="6" t="n"/>
      <c r="J74" s="6" t="n"/>
      <c r="K74" s="6" t="n"/>
      <c r="L74" s="6" t="n"/>
      <c r="M74" s="6" t="n"/>
      <c r="N74" s="6" t="n"/>
      <c r="O74" s="6" t="n"/>
      <c r="P74" s="6" t="n"/>
      <c r="Q74" s="6" t="n"/>
      <c r="R74" s="6" t="n"/>
      <c r="S74" s="6" t="n"/>
      <c r="T74" s="6" t="n"/>
      <c r="U74" s="6" t="n"/>
      <c r="V74" s="6" t="n"/>
      <c r="W74" s="6" t="n"/>
      <c r="X74" s="6" t="n"/>
      <c r="Y74" s="6" t="n"/>
      <c r="Z74" s="6" t="n"/>
    </row>
    <row r="75">
      <c r="A75" s="6" t="n"/>
      <c r="B75" s="6" t="n"/>
      <c r="C75" s="6" t="n"/>
      <c r="D75" s="6" t="n"/>
      <c r="E75" s="6" t="n"/>
      <c r="F75" s="6" t="n"/>
      <c r="G75" s="6" t="n"/>
      <c r="H75" s="6" t="n"/>
      <c r="I75" s="6" t="n"/>
      <c r="J75" s="6" t="n"/>
      <c r="K75" s="6" t="n"/>
      <c r="L75" s="6" t="n"/>
      <c r="M75" s="6" t="n"/>
      <c r="N75" s="6" t="n"/>
      <c r="O75" s="6" t="n"/>
      <c r="P75" s="6" t="n"/>
      <c r="Q75" s="6" t="n"/>
      <c r="R75" s="6" t="n"/>
      <c r="S75" s="6" t="n"/>
      <c r="T75" s="6" t="n"/>
      <c r="U75" s="6" t="n"/>
      <c r="V75" s="6" t="n"/>
      <c r="W75" s="6" t="n"/>
      <c r="X75" s="6" t="n"/>
      <c r="Y75" s="6" t="n"/>
      <c r="Z75" s="6" t="n"/>
    </row>
    <row r="76">
      <c r="A76" s="6" t="n"/>
      <c r="B76" s="6" t="n"/>
      <c r="C76" s="6" t="n"/>
      <c r="D76" s="6" t="n"/>
      <c r="E76" s="6" t="n"/>
      <c r="F76" s="6" t="n"/>
      <c r="G76" s="6" t="n"/>
      <c r="H76" s="6" t="n"/>
      <c r="I76" s="6" t="n"/>
      <c r="J76" s="6" t="n"/>
      <c r="K76" s="6" t="n"/>
      <c r="L76" s="6" t="n"/>
      <c r="M76" s="6" t="n"/>
      <c r="N76" s="6" t="n"/>
      <c r="O76" s="6" t="n"/>
      <c r="P76" s="6" t="n"/>
      <c r="Q76" s="6" t="n"/>
      <c r="R76" s="6" t="n"/>
      <c r="S76" s="6" t="n"/>
      <c r="T76" s="6" t="n"/>
      <c r="U76" s="6" t="n"/>
      <c r="V76" s="6" t="n"/>
      <c r="W76" s="6" t="n"/>
      <c r="X76" s="6" t="n"/>
      <c r="Y76" s="6" t="n"/>
      <c r="Z76" s="6" t="n"/>
    </row>
    <row r="77">
      <c r="A77" s="6" t="n"/>
      <c r="B77" s="6" t="n"/>
      <c r="C77" s="6" t="n"/>
      <c r="D77" s="6" t="n"/>
      <c r="E77" s="6" t="n"/>
      <c r="F77" s="6" t="n"/>
      <c r="G77" s="6" t="n"/>
      <c r="H77" s="6" t="n"/>
      <c r="I77" s="6" t="n"/>
      <c r="J77" s="6" t="n"/>
      <c r="K77" s="6" t="n"/>
      <c r="L77" s="6" t="n"/>
      <c r="M77" s="6" t="n"/>
      <c r="N77" s="6" t="n"/>
      <c r="O77" s="6" t="n"/>
      <c r="P77" s="6" t="n"/>
      <c r="Q77" s="6" t="n"/>
      <c r="R77" s="6" t="n"/>
      <c r="S77" s="6" t="n"/>
      <c r="T77" s="6" t="n"/>
      <c r="U77" s="6" t="n"/>
      <c r="V77" s="6" t="n"/>
      <c r="W77" s="6" t="n"/>
      <c r="X77" s="6" t="n"/>
      <c r="Y77" s="6" t="n"/>
      <c r="Z77" s="6" t="n"/>
    </row>
    <row r="78">
      <c r="A78" s="6" t="n"/>
      <c r="B78" s="6" t="n"/>
      <c r="C78" s="6" t="n"/>
      <c r="D78" s="6" t="n"/>
      <c r="E78" s="6" t="n"/>
      <c r="F78" s="6" t="n"/>
      <c r="G78" s="6" t="n"/>
      <c r="H78" s="6" t="n"/>
      <c r="I78" s="6" t="n"/>
      <c r="J78" s="6" t="n"/>
      <c r="K78" s="6" t="n"/>
      <c r="L78" s="6" t="n"/>
      <c r="M78" s="6" t="n"/>
      <c r="N78" s="6" t="n"/>
      <c r="O78" s="6" t="n"/>
      <c r="P78" s="6" t="n"/>
      <c r="Q78" s="6" t="n"/>
      <c r="R78" s="6" t="n"/>
      <c r="S78" s="6" t="n"/>
      <c r="T78" s="6" t="n"/>
      <c r="U78" s="6" t="n"/>
      <c r="V78" s="6" t="n"/>
      <c r="W78" s="6" t="n"/>
      <c r="X78" s="6" t="n"/>
      <c r="Y78" s="6" t="n"/>
      <c r="Z78" s="6" t="n"/>
    </row>
    <row r="79">
      <c r="A79" s="6" t="n"/>
      <c r="B79" s="6" t="n"/>
      <c r="C79" s="6" t="n"/>
      <c r="D79" s="6" t="n"/>
      <c r="E79" s="6" t="n"/>
      <c r="F79" s="6" t="n"/>
      <c r="G79" s="6" t="n"/>
      <c r="H79" s="6" t="n"/>
      <c r="I79" s="6" t="n"/>
      <c r="J79" s="6" t="n"/>
      <c r="K79" s="6" t="n"/>
      <c r="L79" s="6" t="n"/>
      <c r="M79" s="6" t="n"/>
      <c r="N79" s="6" t="n"/>
      <c r="O79" s="6" t="n"/>
      <c r="P79" s="6" t="n"/>
      <c r="Q79" s="6" t="n"/>
      <c r="R79" s="6" t="n"/>
      <c r="S79" s="6" t="n"/>
      <c r="T79" s="6" t="n"/>
      <c r="U79" s="6" t="n"/>
      <c r="V79" s="6" t="n"/>
      <c r="W79" s="6" t="n"/>
      <c r="X79" s="6" t="n"/>
      <c r="Y79" s="6" t="n"/>
      <c r="Z79" s="6" t="n"/>
    </row>
    <row r="80">
      <c r="A80" s="6" t="n"/>
      <c r="B80" s="6" t="n"/>
      <c r="C80" s="6" t="n"/>
      <c r="D80" s="6" t="n"/>
      <c r="E80" s="6" t="n"/>
      <c r="F80" s="6" t="n"/>
      <c r="G80" s="6" t="n"/>
      <c r="H80" s="6" t="n"/>
      <c r="I80" s="6" t="n"/>
      <c r="J80" s="6" t="n"/>
      <c r="K80" s="6" t="n"/>
      <c r="L80" s="6" t="n"/>
      <c r="M80" s="6" t="n"/>
      <c r="N80" s="6" t="n"/>
      <c r="O80" s="6" t="n"/>
      <c r="P80" s="6" t="n"/>
      <c r="Q80" s="6" t="n"/>
      <c r="R80" s="6" t="n"/>
      <c r="S80" s="6" t="n"/>
      <c r="T80" s="6" t="n"/>
      <c r="U80" s="6" t="n"/>
      <c r="V80" s="6" t="n"/>
      <c r="W80" s="6" t="n"/>
      <c r="X80" s="6" t="n"/>
      <c r="Y80" s="6" t="n"/>
      <c r="Z80" s="6" t="n"/>
    </row>
    <row r="81">
      <c r="A81" s="6" t="n"/>
      <c r="B81" s="6" t="n"/>
      <c r="C81" s="6" t="n"/>
      <c r="D81" s="6" t="n"/>
      <c r="E81" s="6" t="n"/>
      <c r="F81" s="6" t="n"/>
      <c r="G81" s="6" t="n"/>
      <c r="H81" s="6" t="n"/>
      <c r="I81" s="6" t="n"/>
      <c r="J81" s="6" t="n"/>
      <c r="K81" s="6" t="n"/>
      <c r="L81" s="6" t="n"/>
      <c r="M81" s="6" t="n"/>
      <c r="N81" s="6" t="n"/>
      <c r="O81" s="6" t="n"/>
      <c r="P81" s="6" t="n"/>
      <c r="Q81" s="6" t="n"/>
      <c r="R81" s="6" t="n"/>
      <c r="S81" s="6" t="n"/>
      <c r="T81" s="6" t="n"/>
      <c r="U81" s="6" t="n"/>
      <c r="V81" s="6" t="n"/>
      <c r="W81" s="6" t="n"/>
      <c r="X81" s="6" t="n"/>
      <c r="Y81" s="6" t="n"/>
      <c r="Z81" s="6" t="n"/>
    </row>
    <row r="82">
      <c r="A82" s="6" t="n"/>
      <c r="B82" s="6" t="n"/>
      <c r="C82" s="6" t="n"/>
      <c r="D82" s="6" t="n"/>
      <c r="E82" s="6" t="n"/>
      <c r="F82" s="6" t="n"/>
      <c r="G82" s="6" t="n"/>
      <c r="H82" s="6" t="n"/>
      <c r="I82" s="6" t="n"/>
      <c r="J82" s="6" t="n"/>
      <c r="K82" s="6" t="n"/>
      <c r="L82" s="6" t="n"/>
      <c r="M82" s="6" t="n"/>
      <c r="N82" s="6" t="n"/>
      <c r="O82" s="6" t="n"/>
      <c r="P82" s="6" t="n"/>
      <c r="Q82" s="6" t="n"/>
      <c r="R82" s="6" t="n"/>
      <c r="S82" s="6" t="n"/>
      <c r="T82" s="6" t="n"/>
      <c r="U82" s="6" t="n"/>
      <c r="V82" s="6" t="n"/>
      <c r="W82" s="6" t="n"/>
      <c r="X82" s="6" t="n"/>
      <c r="Y82" s="6" t="n"/>
      <c r="Z82" s="6" t="n"/>
    </row>
    <row r="83">
      <c r="A83" s="6" t="n"/>
      <c r="B83" s="6" t="n"/>
      <c r="C83" s="6" t="n"/>
      <c r="D83" s="6" t="n"/>
      <c r="E83" s="6" t="n"/>
      <c r="F83" s="6" t="n"/>
      <c r="G83" s="6" t="n"/>
      <c r="H83" s="6" t="n"/>
      <c r="I83" s="6" t="n"/>
      <c r="J83" s="6" t="n"/>
      <c r="K83" s="6" t="n"/>
      <c r="L83" s="6" t="n"/>
      <c r="M83" s="6" t="n"/>
      <c r="N83" s="6" t="n"/>
      <c r="O83" s="6" t="n"/>
      <c r="P83" s="6" t="n"/>
      <c r="Q83" s="6" t="n"/>
      <c r="R83" s="6" t="n"/>
      <c r="S83" s="6" t="n"/>
      <c r="T83" s="6" t="n"/>
      <c r="U83" s="6" t="n"/>
      <c r="V83" s="6" t="n"/>
      <c r="W83" s="6" t="n"/>
      <c r="X83" s="6" t="n"/>
      <c r="Y83" s="6" t="n"/>
      <c r="Z83" s="6" t="n"/>
    </row>
    <row r="84">
      <c r="A84" s="6" t="n"/>
      <c r="B84" s="6" t="n"/>
      <c r="C84" s="6" t="n"/>
      <c r="D84" s="6" t="n"/>
      <c r="E84" s="6" t="n"/>
      <c r="F84" s="6" t="n"/>
      <c r="G84" s="6" t="n"/>
      <c r="H84" s="6" t="n"/>
      <c r="I84" s="6" t="n"/>
      <c r="J84" s="6" t="n"/>
      <c r="K84" s="6" t="n"/>
      <c r="L84" s="6" t="n"/>
      <c r="M84" s="6" t="n"/>
      <c r="N84" s="6" t="n"/>
      <c r="O84" s="6" t="n"/>
      <c r="P84" s="6" t="n"/>
      <c r="Q84" s="6" t="n"/>
      <c r="R84" s="6" t="n"/>
      <c r="S84" s="6" t="n"/>
      <c r="T84" s="6" t="n"/>
      <c r="U84" s="6" t="n"/>
      <c r="V84" s="6" t="n"/>
      <c r="W84" s="6" t="n"/>
      <c r="X84" s="6" t="n"/>
      <c r="Y84" s="6" t="n"/>
      <c r="Z84" s="6" t="n"/>
    </row>
    <row r="85">
      <c r="A85" s="6" t="n"/>
      <c r="B85" s="6" t="n"/>
      <c r="C85" s="6" t="n"/>
      <c r="D85" s="6" t="n"/>
      <c r="E85" s="6" t="n"/>
      <c r="F85" s="6" t="n"/>
      <c r="G85" s="6" t="n"/>
      <c r="H85" s="6" t="n"/>
      <c r="I85" s="6" t="n"/>
      <c r="J85" s="6" t="n"/>
      <c r="K85" s="6" t="n"/>
      <c r="L85" s="6" t="n"/>
      <c r="M85" s="6" t="n"/>
      <c r="N85" s="6" t="n"/>
      <c r="O85" s="6" t="n"/>
      <c r="P85" s="6" t="n"/>
      <c r="Q85" s="6" t="n"/>
      <c r="R85" s="6" t="n"/>
      <c r="S85" s="6" t="n"/>
      <c r="T85" s="6" t="n"/>
      <c r="U85" s="6" t="n"/>
      <c r="V85" s="6" t="n"/>
      <c r="W85" s="6" t="n"/>
      <c r="X85" s="6" t="n"/>
      <c r="Y85" s="6" t="n"/>
      <c r="Z85" s="6" t="n"/>
    </row>
    <row r="86">
      <c r="A86" s="6" t="n"/>
      <c r="B86" s="6" t="n"/>
      <c r="C86" s="6" t="n"/>
      <c r="D86" s="6" t="n"/>
      <c r="E86" s="6" t="n"/>
      <c r="F86" s="6" t="n"/>
      <c r="G86" s="6" t="n"/>
      <c r="H86" s="6" t="n"/>
      <c r="I86" s="6" t="n"/>
      <c r="J86" s="6" t="n"/>
      <c r="K86" s="6" t="n"/>
      <c r="L86" s="6" t="n"/>
      <c r="M86" s="6" t="n"/>
      <c r="N86" s="6" t="n"/>
      <c r="O86" s="6" t="n"/>
      <c r="P86" s="6" t="n"/>
      <c r="Q86" s="6" t="n"/>
      <c r="R86" s="6" t="n"/>
      <c r="S86" s="6" t="n"/>
      <c r="T86" s="6" t="n"/>
      <c r="U86" s="6" t="n"/>
      <c r="V86" s="6" t="n"/>
      <c r="W86" s="6" t="n"/>
      <c r="X86" s="6" t="n"/>
      <c r="Y86" s="6" t="n"/>
      <c r="Z86" s="6" t="n"/>
    </row>
    <row r="87">
      <c r="A87" s="6" t="n"/>
      <c r="B87" s="6" t="n"/>
      <c r="C87" s="6" t="n"/>
      <c r="D87" s="6" t="n"/>
      <c r="E87" s="6" t="n"/>
      <c r="F87" s="6" t="n"/>
      <c r="G87" s="6" t="n"/>
      <c r="H87" s="6" t="n"/>
      <c r="I87" s="6" t="n"/>
      <c r="J87" s="6" t="n"/>
      <c r="K87" s="6" t="n"/>
      <c r="L87" s="6" t="n"/>
      <c r="M87" s="6" t="n"/>
      <c r="N87" s="6" t="n"/>
      <c r="O87" s="6" t="n"/>
      <c r="P87" s="6" t="n"/>
      <c r="Q87" s="6" t="n"/>
      <c r="R87" s="6" t="n"/>
      <c r="S87" s="6" t="n"/>
      <c r="T87" s="6" t="n"/>
      <c r="U87" s="6" t="n"/>
      <c r="V87" s="6" t="n"/>
      <c r="W87" s="6" t="n"/>
      <c r="X87" s="6" t="n"/>
      <c r="Y87" s="6" t="n"/>
      <c r="Z87" s="6" t="n"/>
    </row>
    <row r="88">
      <c r="A88" s="6" t="n"/>
      <c r="B88" s="6" t="n"/>
      <c r="C88" s="6" t="n"/>
      <c r="D88" s="6" t="n"/>
      <c r="E88" s="6" t="n"/>
      <c r="F88" s="6" t="n"/>
      <c r="G88" s="6" t="n"/>
      <c r="H88" s="6" t="n"/>
      <c r="I88" s="6" t="n"/>
      <c r="J88" s="6" t="n"/>
      <c r="K88" s="6" t="n"/>
      <c r="L88" s="6" t="n"/>
      <c r="M88" s="6" t="n"/>
      <c r="N88" s="6" t="n"/>
      <c r="O88" s="6" t="n"/>
      <c r="P88" s="6" t="n"/>
      <c r="Q88" s="6" t="n"/>
      <c r="R88" s="6" t="n"/>
      <c r="S88" s="6" t="n"/>
      <c r="T88" s="6" t="n"/>
      <c r="U88" s="6" t="n"/>
      <c r="V88" s="6" t="n"/>
      <c r="W88" s="6" t="n"/>
      <c r="X88" s="6" t="n"/>
      <c r="Y88" s="6" t="n"/>
      <c r="Z88" s="6" t="n"/>
    </row>
    <row r="89">
      <c r="A89" s="6" t="n"/>
      <c r="B89" s="6" t="n"/>
      <c r="C89" s="6" t="n"/>
      <c r="D89" s="6" t="n"/>
      <c r="E89" s="6" t="n"/>
      <c r="F89" s="6" t="n"/>
      <c r="G89" s="6" t="n"/>
      <c r="H89" s="6" t="n"/>
      <c r="I89" s="6" t="n"/>
      <c r="J89" s="6" t="n"/>
      <c r="K89" s="6" t="n"/>
      <c r="L89" s="6" t="n"/>
      <c r="M89" s="6" t="n"/>
      <c r="N89" s="6" t="n"/>
      <c r="O89" s="6" t="n"/>
      <c r="P89" s="6" t="n"/>
      <c r="Q89" s="6" t="n"/>
      <c r="R89" s="6" t="n"/>
      <c r="S89" s="6" t="n"/>
      <c r="T89" s="6" t="n"/>
      <c r="U89" s="6" t="n"/>
      <c r="V89" s="6" t="n"/>
      <c r="W89" s="6" t="n"/>
      <c r="X89" s="6" t="n"/>
      <c r="Y89" s="6" t="n"/>
      <c r="Z89" s="6" t="n"/>
    </row>
    <row r="90">
      <c r="A90" s="6" t="n"/>
      <c r="B90" s="6" t="n"/>
      <c r="C90" s="6" t="n"/>
      <c r="D90" s="6" t="n"/>
      <c r="E90" s="6" t="n"/>
      <c r="F90" s="6" t="n"/>
      <c r="G90" s="6" t="n"/>
      <c r="H90" s="6" t="n"/>
      <c r="I90" s="6" t="n"/>
      <c r="J90" s="6" t="n"/>
      <c r="K90" s="6" t="n"/>
      <c r="L90" s="6" t="n"/>
      <c r="M90" s="6" t="n"/>
      <c r="N90" s="6" t="n"/>
      <c r="O90" s="6" t="n"/>
      <c r="P90" s="6" t="n"/>
      <c r="Q90" s="6" t="n"/>
      <c r="R90" s="6" t="n"/>
      <c r="S90" s="6" t="n"/>
      <c r="T90" s="6" t="n"/>
      <c r="U90" s="6" t="n"/>
      <c r="V90" s="6" t="n"/>
      <c r="W90" s="6" t="n"/>
      <c r="X90" s="6" t="n"/>
      <c r="Y90" s="6" t="n"/>
      <c r="Z90" s="6" t="n"/>
    </row>
    <row r="91">
      <c r="A91" s="6" t="n"/>
      <c r="B91" s="6" t="n"/>
      <c r="C91" s="6" t="n"/>
      <c r="D91" s="6" t="n"/>
      <c r="E91" s="6" t="n"/>
      <c r="F91" s="6" t="n"/>
      <c r="G91" s="6" t="n"/>
      <c r="H91" s="6" t="n"/>
      <c r="I91" s="6" t="n"/>
      <c r="J91" s="6" t="n"/>
      <c r="K91" s="6" t="n"/>
      <c r="L91" s="6" t="n"/>
      <c r="M91" s="6" t="n"/>
      <c r="N91" s="6" t="n"/>
      <c r="O91" s="6" t="n"/>
      <c r="P91" s="6" t="n"/>
      <c r="Q91" s="6" t="n"/>
      <c r="R91" s="6" t="n"/>
      <c r="S91" s="6" t="n"/>
      <c r="T91" s="6" t="n"/>
      <c r="U91" s="6" t="n"/>
      <c r="V91" s="6" t="n"/>
      <c r="W91" s="6" t="n"/>
      <c r="X91" s="6" t="n"/>
      <c r="Y91" s="6" t="n"/>
      <c r="Z91" s="6" t="n"/>
    </row>
    <row r="92">
      <c r="A92" s="6" t="n"/>
      <c r="B92" s="6" t="n"/>
      <c r="C92" s="6" t="n"/>
      <c r="D92" s="6" t="n"/>
      <c r="E92" s="6" t="n"/>
      <c r="F92" s="6" t="n"/>
      <c r="G92" s="6" t="n"/>
      <c r="H92" s="6" t="n"/>
      <c r="I92" s="6" t="n"/>
      <c r="J92" s="6" t="n"/>
      <c r="K92" s="6" t="n"/>
      <c r="L92" s="6" t="n"/>
      <c r="M92" s="6" t="n"/>
      <c r="N92" s="6" t="n"/>
      <c r="O92" s="6" t="n"/>
      <c r="P92" s="6" t="n"/>
      <c r="Q92" s="6" t="n"/>
      <c r="R92" s="6" t="n"/>
      <c r="S92" s="6" t="n"/>
      <c r="T92" s="6" t="n"/>
      <c r="U92" s="6" t="n"/>
      <c r="V92" s="6" t="n"/>
      <c r="W92" s="6" t="n"/>
      <c r="X92" s="6" t="n"/>
      <c r="Y92" s="6" t="n"/>
      <c r="Z92" s="6" t="n"/>
    </row>
    <row r="93">
      <c r="A93" s="6" t="n"/>
      <c r="B93" s="6" t="n"/>
      <c r="C93" s="6" t="n"/>
      <c r="D93" s="6" t="n"/>
      <c r="E93" s="6" t="n"/>
      <c r="F93" s="6" t="n"/>
      <c r="G93" s="6" t="n"/>
      <c r="H93" s="6" t="n"/>
      <c r="I93" s="6" t="n"/>
      <c r="J93" s="6" t="n"/>
      <c r="K93" s="6" t="n"/>
      <c r="L93" s="6" t="n"/>
      <c r="M93" s="6" t="n"/>
      <c r="N93" s="6" t="n"/>
      <c r="O93" s="6" t="n"/>
      <c r="P93" s="6" t="n"/>
      <c r="Q93" s="6" t="n"/>
      <c r="R93" s="6" t="n"/>
      <c r="S93" s="6" t="n"/>
      <c r="T93" s="6" t="n"/>
      <c r="U93" s="6" t="n"/>
      <c r="V93" s="6" t="n"/>
      <c r="W93" s="6" t="n"/>
      <c r="X93" s="6" t="n"/>
      <c r="Y93" s="6" t="n"/>
      <c r="Z93" s="6" t="n"/>
    </row>
    <row r="94">
      <c r="A94" s="6" t="n"/>
      <c r="B94" s="6" t="n"/>
      <c r="C94" s="6" t="n"/>
      <c r="D94" s="6" t="n"/>
      <c r="E94" s="6" t="n"/>
      <c r="F94" s="6" t="n"/>
      <c r="G94" s="6" t="n"/>
      <c r="H94" s="6" t="n"/>
      <c r="I94" s="6" t="n"/>
      <c r="J94" s="6" t="n"/>
      <c r="K94" s="6" t="n"/>
      <c r="L94" s="6" t="n"/>
      <c r="M94" s="6" t="n"/>
      <c r="N94" s="6" t="n"/>
      <c r="O94" s="6" t="n"/>
      <c r="P94" s="6" t="n"/>
      <c r="Q94" s="6" t="n"/>
      <c r="R94" s="6" t="n"/>
      <c r="S94" s="6" t="n"/>
      <c r="T94" s="6" t="n"/>
      <c r="U94" s="6" t="n"/>
      <c r="V94" s="6" t="n"/>
      <c r="W94" s="6" t="n"/>
      <c r="X94" s="6" t="n"/>
      <c r="Y94" s="6" t="n"/>
      <c r="Z94" s="6" t="n"/>
    </row>
    <row r="95">
      <c r="A95" s="6" t="n"/>
      <c r="B95" s="6" t="n"/>
      <c r="C95" s="6" t="n"/>
      <c r="D95" s="6" t="n"/>
      <c r="E95" s="6" t="n"/>
      <c r="F95" s="6" t="n"/>
      <c r="G95" s="6" t="n"/>
      <c r="H95" s="6" t="n"/>
      <c r="I95" s="6" t="n"/>
      <c r="J95" s="6" t="n"/>
      <c r="K95" s="6" t="n"/>
      <c r="L95" s="6" t="n"/>
      <c r="M95" s="6" t="n"/>
      <c r="N95" s="6" t="n"/>
      <c r="O95" s="6" t="n"/>
      <c r="P95" s="6" t="n"/>
      <c r="Q95" s="6" t="n"/>
      <c r="R95" s="6" t="n"/>
      <c r="S95" s="6" t="n"/>
      <c r="T95" s="6" t="n"/>
      <c r="U95" s="6" t="n"/>
      <c r="V95" s="6" t="n"/>
      <c r="W95" s="6" t="n"/>
      <c r="X95" s="6" t="n"/>
      <c r="Y95" s="6" t="n"/>
      <c r="Z95" s="6" t="n"/>
    </row>
    <row r="96">
      <c r="A96" s="6" t="n"/>
      <c r="B96" s="6" t="n"/>
      <c r="C96" s="6" t="n"/>
      <c r="D96" s="6" t="n"/>
      <c r="E96" s="6" t="n"/>
      <c r="F96" s="6" t="n"/>
      <c r="G96" s="6" t="n"/>
      <c r="H96" s="6" t="n"/>
      <c r="I96" s="6" t="n"/>
      <c r="J96" s="6" t="n"/>
      <c r="K96" s="6" t="n"/>
      <c r="L96" s="6" t="n"/>
      <c r="M96" s="6" t="n"/>
      <c r="N96" s="6" t="n"/>
      <c r="O96" s="6" t="n"/>
      <c r="P96" s="6" t="n"/>
      <c r="Q96" s="6" t="n"/>
      <c r="R96" s="6" t="n"/>
      <c r="S96" s="6" t="n"/>
      <c r="T96" s="6" t="n"/>
      <c r="U96" s="6" t="n"/>
      <c r="V96" s="6" t="n"/>
      <c r="W96" s="6" t="n"/>
      <c r="X96" s="6" t="n"/>
      <c r="Y96" s="6" t="n"/>
      <c r="Z96" s="6" t="n"/>
    </row>
    <row r="97">
      <c r="A97" s="6" t="n"/>
      <c r="B97" s="6" t="n"/>
      <c r="C97" s="6" t="n"/>
      <c r="D97" s="6" t="n"/>
      <c r="E97" s="6" t="n"/>
      <c r="F97" s="6" t="n"/>
      <c r="G97" s="6" t="n"/>
      <c r="H97" s="6" t="n"/>
      <c r="I97" s="6" t="n"/>
      <c r="J97" s="6" t="n"/>
      <c r="K97" s="6" t="n"/>
      <c r="L97" s="6" t="n"/>
      <c r="M97" s="6" t="n"/>
      <c r="N97" s="6" t="n"/>
      <c r="O97" s="6" t="n"/>
      <c r="P97" s="6" t="n"/>
      <c r="Q97" s="6" t="n"/>
      <c r="R97" s="6" t="n"/>
      <c r="S97" s="6" t="n"/>
      <c r="T97" s="6" t="n"/>
      <c r="U97" s="6" t="n"/>
      <c r="V97" s="6" t="n"/>
      <c r="W97" s="6" t="n"/>
      <c r="X97" s="6" t="n"/>
      <c r="Y97" s="6" t="n"/>
      <c r="Z97" s="6" t="n"/>
    </row>
    <row r="98">
      <c r="A98" s="6" t="n"/>
      <c r="B98" s="6" t="n"/>
      <c r="C98" s="6" t="n"/>
      <c r="D98" s="6" t="n"/>
      <c r="E98" s="6" t="n"/>
      <c r="F98" s="6" t="n"/>
      <c r="G98" s="6" t="n"/>
      <c r="H98" s="6" t="n"/>
      <c r="I98" s="6" t="n"/>
      <c r="J98" s="6" t="n"/>
      <c r="K98" s="6" t="n"/>
      <c r="L98" s="6" t="n"/>
      <c r="M98" s="6" t="n"/>
      <c r="N98" s="6" t="n"/>
      <c r="O98" s="6" t="n"/>
      <c r="P98" s="6" t="n"/>
      <c r="Q98" s="6" t="n"/>
      <c r="R98" s="6" t="n"/>
      <c r="S98" s="6" t="n"/>
      <c r="T98" s="6" t="n"/>
      <c r="U98" s="6" t="n"/>
      <c r="V98" s="6" t="n"/>
      <c r="W98" s="6" t="n"/>
      <c r="X98" s="6" t="n"/>
      <c r="Y98" s="6" t="n"/>
      <c r="Z98" s="6" t="n"/>
    </row>
    <row r="99">
      <c r="A99" s="6" t="n"/>
      <c r="B99" s="6" t="n"/>
      <c r="C99" s="6" t="n"/>
      <c r="D99" s="6" t="n"/>
      <c r="E99" s="6" t="n"/>
      <c r="F99" s="6" t="n"/>
      <c r="G99" s="6" t="n"/>
      <c r="H99" s="6" t="n"/>
      <c r="I99" s="6" t="n"/>
      <c r="J99" s="6" t="n"/>
      <c r="K99" s="6" t="n"/>
      <c r="L99" s="6" t="n"/>
      <c r="M99" s="6" t="n"/>
      <c r="N99" s="6" t="n"/>
      <c r="O99" s="6" t="n"/>
      <c r="P99" s="6" t="n"/>
      <c r="Q99" s="6" t="n"/>
      <c r="R99" s="6" t="n"/>
      <c r="S99" s="6" t="n"/>
      <c r="T99" s="6" t="n"/>
      <c r="U99" s="6" t="n"/>
      <c r="V99" s="6" t="n"/>
      <c r="W99" s="6" t="n"/>
      <c r="X99" s="6" t="n"/>
      <c r="Y99" s="6" t="n"/>
      <c r="Z99" s="6" t="n"/>
    </row>
    <row r="100">
      <c r="A100" s="6" t="n"/>
      <c r="B100" s="6" t="n"/>
      <c r="C100" s="6" t="n"/>
      <c r="D100" s="6" t="n"/>
      <c r="E100" s="6" t="n"/>
      <c r="F100" s="6" t="n"/>
      <c r="G100" s="6" t="n"/>
      <c r="H100" s="6" t="n"/>
      <c r="I100" s="6" t="n"/>
      <c r="J100" s="6" t="n"/>
      <c r="K100" s="6" t="n"/>
      <c r="L100" s="6" t="n"/>
      <c r="M100" s="6" t="n"/>
      <c r="N100" s="6" t="n"/>
      <c r="O100" s="6" t="n"/>
      <c r="P100" s="6" t="n"/>
      <c r="Q100" s="6" t="n"/>
      <c r="R100" s="6" t="n"/>
      <c r="S100" s="6" t="n"/>
      <c r="T100" s="6" t="n"/>
      <c r="U100" s="6" t="n"/>
      <c r="V100" s="6" t="n"/>
      <c r="W100" s="6" t="n"/>
      <c r="X100" s="6" t="n"/>
      <c r="Y100" s="6" t="n"/>
      <c r="Z100" s="6" t="n"/>
    </row>
    <row r="101">
      <c r="A101" s="6" t="n"/>
      <c r="B101" s="6" t="n"/>
      <c r="C101" s="6" t="n"/>
      <c r="D101" s="6" t="n"/>
      <c r="E101" s="6" t="n"/>
      <c r="F101" s="6" t="n"/>
      <c r="G101" s="6" t="n"/>
      <c r="H101" s="6" t="n"/>
      <c r="I101" s="6" t="n"/>
      <c r="J101" s="6" t="n"/>
      <c r="K101" s="6" t="n"/>
      <c r="L101" s="6" t="n"/>
      <c r="M101" s="6" t="n"/>
      <c r="N101" s="6" t="n"/>
      <c r="O101" s="6" t="n"/>
      <c r="P101" s="6" t="n"/>
      <c r="Q101" s="6" t="n"/>
      <c r="R101" s="6" t="n"/>
      <c r="S101" s="6" t="n"/>
      <c r="T101" s="6" t="n"/>
      <c r="U101" s="6" t="n"/>
      <c r="V101" s="6" t="n"/>
      <c r="W101" s="6" t="n"/>
      <c r="X101" s="6" t="n"/>
      <c r="Y101" s="6" t="n"/>
      <c r="Z101" s="6" t="n"/>
    </row>
    <row r="102">
      <c r="A102" s="6" t="n"/>
      <c r="B102" s="6" t="n"/>
      <c r="C102" s="6" t="n"/>
      <c r="D102" s="6" t="n"/>
      <c r="E102" s="6" t="n"/>
      <c r="F102" s="6" t="n"/>
      <c r="G102" s="6" t="n"/>
      <c r="H102" s="6" t="n"/>
      <c r="I102" s="6" t="n"/>
      <c r="J102" s="6" t="n"/>
      <c r="K102" s="6" t="n"/>
      <c r="L102" s="6" t="n"/>
      <c r="M102" s="6" t="n"/>
      <c r="N102" s="6" t="n"/>
      <c r="O102" s="6" t="n"/>
      <c r="P102" s="6" t="n"/>
      <c r="Q102" s="6" t="n"/>
      <c r="R102" s="6" t="n"/>
      <c r="S102" s="6" t="n"/>
      <c r="T102" s="6" t="n"/>
      <c r="U102" s="6" t="n"/>
      <c r="V102" s="6" t="n"/>
      <c r="W102" s="6" t="n"/>
      <c r="X102" s="6" t="n"/>
      <c r="Y102" s="6" t="n"/>
      <c r="Z102" s="6" t="n"/>
    </row>
    <row r="103">
      <c r="A103" s="6" t="n"/>
      <c r="B103" s="6" t="n"/>
      <c r="C103" s="6" t="n"/>
      <c r="D103" s="6" t="n"/>
      <c r="E103" s="6" t="n"/>
      <c r="F103" s="6" t="n"/>
      <c r="G103" s="6" t="n"/>
      <c r="H103" s="6" t="n"/>
      <c r="I103" s="6" t="n"/>
      <c r="J103" s="6" t="n"/>
      <c r="K103" s="6" t="n"/>
      <c r="L103" s="6" t="n"/>
      <c r="M103" s="6" t="n"/>
      <c r="N103" s="6" t="n"/>
      <c r="O103" s="6" t="n"/>
      <c r="P103" s="6" t="n"/>
      <c r="Q103" s="6" t="n"/>
      <c r="R103" s="6" t="n"/>
      <c r="S103" s="6" t="n"/>
      <c r="T103" s="6" t="n"/>
      <c r="U103" s="6" t="n"/>
      <c r="V103" s="6" t="n"/>
      <c r="W103" s="6" t="n"/>
      <c r="X103" s="6" t="n"/>
      <c r="Y103" s="6" t="n"/>
      <c r="Z103" s="6" t="n"/>
    </row>
    <row r="104">
      <c r="A104" s="6" t="n"/>
      <c r="B104" s="6" t="n"/>
      <c r="C104" s="6" t="n"/>
      <c r="D104" s="6" t="n"/>
      <c r="E104" s="6" t="n"/>
      <c r="F104" s="6" t="n"/>
      <c r="G104" s="6" t="n"/>
      <c r="H104" s="6" t="n"/>
      <c r="I104" s="6" t="n"/>
      <c r="J104" s="6" t="n"/>
      <c r="K104" s="6" t="n"/>
      <c r="L104" s="6" t="n"/>
      <c r="M104" s="6" t="n"/>
      <c r="N104" s="6" t="n"/>
      <c r="O104" s="6" t="n"/>
      <c r="P104" s="6" t="n"/>
      <c r="Q104" s="6" t="n"/>
      <c r="R104" s="6" t="n"/>
      <c r="S104" s="6" t="n"/>
      <c r="T104" s="6" t="n"/>
      <c r="U104" s="6" t="n"/>
      <c r="V104" s="6" t="n"/>
      <c r="W104" s="6" t="n"/>
      <c r="X104" s="6" t="n"/>
      <c r="Y104" s="6" t="n"/>
      <c r="Z104" s="6" t="n"/>
    </row>
    <row r="105">
      <c r="A105" s="6" t="n"/>
      <c r="B105" s="6" t="n"/>
      <c r="C105" s="6" t="n"/>
      <c r="D105" s="6" t="n"/>
      <c r="E105" s="6" t="n"/>
      <c r="F105" s="6" t="n"/>
      <c r="G105" s="6" t="n"/>
      <c r="H105" s="6" t="n"/>
      <c r="I105" s="6" t="n"/>
      <c r="J105" s="6" t="n"/>
      <c r="K105" s="6" t="n"/>
      <c r="L105" s="6" t="n"/>
      <c r="M105" s="6" t="n"/>
      <c r="N105" s="6" t="n"/>
      <c r="O105" s="6" t="n"/>
      <c r="P105" s="6" t="n"/>
      <c r="Q105" s="6" t="n"/>
      <c r="R105" s="6" t="n"/>
      <c r="S105" s="6" t="n"/>
      <c r="T105" s="6" t="n"/>
      <c r="U105" s="6" t="n"/>
      <c r="V105" s="6" t="n"/>
      <c r="W105" s="6" t="n"/>
      <c r="X105" s="6" t="n"/>
      <c r="Y105" s="6" t="n"/>
      <c r="Z105" s="6" t="n"/>
    </row>
    <row r="106">
      <c r="A106" s="6" t="n"/>
      <c r="B106" s="6" t="n"/>
      <c r="C106" s="6" t="n"/>
      <c r="D106" s="6" t="n"/>
      <c r="E106" s="6" t="n"/>
      <c r="F106" s="6" t="n"/>
      <c r="G106" s="6" t="n"/>
      <c r="H106" s="6" t="n"/>
      <c r="I106" s="6" t="n"/>
      <c r="J106" s="6" t="n"/>
      <c r="K106" s="6" t="n"/>
      <c r="L106" s="6" t="n"/>
      <c r="M106" s="6" t="n"/>
      <c r="N106" s="6" t="n"/>
      <c r="O106" s="6" t="n"/>
      <c r="P106" s="6" t="n"/>
      <c r="Q106" s="6" t="n"/>
      <c r="R106" s="6" t="n"/>
      <c r="S106" s="6" t="n"/>
      <c r="T106" s="6" t="n"/>
      <c r="U106" s="6" t="n"/>
      <c r="V106" s="6" t="n"/>
      <c r="W106" s="6" t="n"/>
      <c r="X106" s="6" t="n"/>
      <c r="Y106" s="6" t="n"/>
      <c r="Z106" s="6" t="n"/>
    </row>
    <row r="107">
      <c r="A107" s="6" t="n"/>
      <c r="B107" s="6" t="n"/>
      <c r="C107" s="6" t="n"/>
      <c r="D107" s="6" t="n"/>
      <c r="E107" s="6" t="n"/>
      <c r="F107" s="6" t="n"/>
      <c r="G107" s="6" t="n"/>
      <c r="H107" s="6" t="n"/>
      <c r="I107" s="6" t="n"/>
      <c r="J107" s="6" t="n"/>
      <c r="K107" s="6" t="n"/>
      <c r="L107" s="6" t="n"/>
      <c r="M107" s="6" t="n"/>
      <c r="N107" s="6" t="n"/>
      <c r="O107" s="6" t="n"/>
      <c r="P107" s="6" t="n"/>
      <c r="Q107" s="6" t="n"/>
      <c r="R107" s="6" t="n"/>
      <c r="S107" s="6" t="n"/>
      <c r="T107" s="6" t="n"/>
      <c r="U107" s="6" t="n"/>
      <c r="V107" s="6" t="n"/>
      <c r="W107" s="6" t="n"/>
      <c r="X107" s="6" t="n"/>
      <c r="Y107" s="6" t="n"/>
      <c r="Z107" s="6" t="n"/>
    </row>
    <row r="108">
      <c r="A108" s="6" t="n"/>
      <c r="B108" s="6" t="n"/>
      <c r="C108" s="6" t="n"/>
      <c r="D108" s="6" t="n"/>
      <c r="E108" s="6" t="n"/>
      <c r="F108" s="6" t="n"/>
      <c r="G108" s="6" t="n"/>
      <c r="H108" s="6" t="n"/>
      <c r="I108" s="6" t="n"/>
      <c r="J108" s="6" t="n"/>
      <c r="K108" s="6" t="n"/>
      <c r="L108" s="6" t="n"/>
      <c r="M108" s="6" t="n"/>
      <c r="N108" s="6" t="n"/>
      <c r="O108" s="6" t="n"/>
      <c r="P108" s="6" t="n"/>
      <c r="Q108" s="6" t="n"/>
      <c r="R108" s="6" t="n"/>
      <c r="S108" s="6" t="n"/>
      <c r="T108" s="6" t="n"/>
      <c r="U108" s="6" t="n"/>
      <c r="V108" s="6" t="n"/>
      <c r="W108" s="6" t="n"/>
      <c r="X108" s="6" t="n"/>
      <c r="Y108" s="6" t="n"/>
      <c r="Z108" s="6" t="n"/>
    </row>
    <row r="109">
      <c r="A109" s="6" t="n"/>
      <c r="B109" s="6" t="n"/>
      <c r="C109" s="6" t="n"/>
      <c r="D109" s="6" t="n"/>
      <c r="E109" s="6" t="n"/>
      <c r="F109" s="6" t="n"/>
      <c r="G109" s="6" t="n"/>
      <c r="H109" s="6" t="n"/>
      <c r="I109" s="6" t="n"/>
      <c r="J109" s="6" t="n"/>
      <c r="K109" s="6" t="n"/>
      <c r="L109" s="6" t="n"/>
      <c r="M109" s="6" t="n"/>
      <c r="N109" s="6" t="n"/>
      <c r="O109" s="6" t="n"/>
      <c r="P109" s="6" t="n"/>
      <c r="Q109" s="6" t="n"/>
      <c r="R109" s="6" t="n"/>
      <c r="S109" s="6" t="n"/>
      <c r="T109" s="6" t="n"/>
      <c r="U109" s="6" t="n"/>
      <c r="V109" s="6" t="n"/>
      <c r="W109" s="6" t="n"/>
      <c r="X109" s="6" t="n"/>
      <c r="Y109" s="6" t="n"/>
      <c r="Z109" s="6" t="n"/>
    </row>
    <row r="110">
      <c r="A110" s="6" t="n"/>
      <c r="B110" s="6" t="n"/>
      <c r="C110" s="6" t="n"/>
      <c r="D110" s="6" t="n"/>
      <c r="E110" s="6" t="n"/>
      <c r="F110" s="6" t="n"/>
      <c r="G110" s="6" t="n"/>
      <c r="H110" s="6" t="n"/>
      <c r="I110" s="6" t="n"/>
      <c r="J110" s="6" t="n"/>
      <c r="K110" s="6" t="n"/>
      <c r="L110" s="6" t="n"/>
      <c r="M110" s="6" t="n"/>
      <c r="N110" s="6" t="n"/>
      <c r="O110" s="6" t="n"/>
      <c r="P110" s="6" t="n"/>
      <c r="Q110" s="6" t="n"/>
      <c r="R110" s="6" t="n"/>
      <c r="S110" s="6" t="n"/>
      <c r="T110" s="6" t="n"/>
      <c r="U110" s="6" t="n"/>
      <c r="V110" s="6" t="n"/>
      <c r="W110" s="6" t="n"/>
      <c r="X110" s="6" t="n"/>
      <c r="Y110" s="6" t="n"/>
      <c r="Z110" s="6" t="n"/>
    </row>
    <row r="111">
      <c r="A111" s="6" t="n"/>
      <c r="B111" s="6" t="n"/>
      <c r="C111" s="6" t="n"/>
      <c r="D111" s="6" t="n"/>
      <c r="E111" s="6" t="n"/>
      <c r="F111" s="6" t="n"/>
      <c r="G111" s="6" t="n"/>
      <c r="H111" s="6" t="n"/>
      <c r="I111" s="6" t="n"/>
      <c r="J111" s="6" t="n"/>
      <c r="K111" s="6" t="n"/>
      <c r="L111" s="6" t="n"/>
      <c r="M111" s="6" t="n"/>
      <c r="N111" s="6" t="n"/>
      <c r="O111" s="6" t="n"/>
      <c r="P111" s="6" t="n"/>
      <c r="Q111" s="6" t="n"/>
      <c r="R111" s="6" t="n"/>
      <c r="S111" s="6" t="n"/>
      <c r="T111" s="6" t="n"/>
      <c r="U111" s="6" t="n"/>
      <c r="V111" s="6" t="n"/>
      <c r="W111" s="6" t="n"/>
      <c r="X111" s="6" t="n"/>
      <c r="Y111" s="6" t="n"/>
      <c r="Z111" s="6" t="n"/>
    </row>
    <row r="112">
      <c r="A112" s="6" t="n"/>
      <c r="B112" s="6" t="n"/>
      <c r="C112" s="6" t="n"/>
      <c r="D112" s="6" t="n"/>
      <c r="E112" s="6" t="n"/>
      <c r="F112" s="6" t="n"/>
      <c r="G112" s="6" t="n"/>
      <c r="H112" s="6" t="n"/>
      <c r="I112" s="6" t="n"/>
      <c r="J112" s="6" t="n"/>
      <c r="K112" s="6" t="n"/>
      <c r="L112" s="6" t="n"/>
      <c r="M112" s="6" t="n"/>
      <c r="N112" s="6" t="n"/>
      <c r="O112" s="6" t="n"/>
      <c r="P112" s="6" t="n"/>
      <c r="Q112" s="6" t="n"/>
      <c r="R112" s="6" t="n"/>
      <c r="S112" s="6" t="n"/>
      <c r="T112" s="6" t="n"/>
      <c r="U112" s="6" t="n"/>
      <c r="V112" s="6" t="n"/>
      <c r="W112" s="6" t="n"/>
      <c r="X112" s="6" t="n"/>
      <c r="Y112" s="6" t="n"/>
      <c r="Z112" s="6" t="n"/>
    </row>
    <row r="113">
      <c r="A113" s="6" t="n"/>
      <c r="B113" s="6" t="n"/>
      <c r="C113" s="6" t="n"/>
      <c r="D113" s="6" t="n"/>
      <c r="E113" s="6" t="n"/>
      <c r="F113" s="6" t="n"/>
      <c r="G113" s="6" t="n"/>
      <c r="H113" s="6" t="n"/>
      <c r="I113" s="6" t="n"/>
      <c r="J113" s="6" t="n"/>
      <c r="K113" s="6" t="n"/>
      <c r="L113" s="6" t="n"/>
      <c r="M113" s="6" t="n"/>
      <c r="N113" s="6" t="n"/>
      <c r="O113" s="6" t="n"/>
      <c r="P113" s="6" t="n"/>
      <c r="Q113" s="6" t="n"/>
      <c r="R113" s="6" t="n"/>
      <c r="S113" s="6" t="n"/>
      <c r="T113" s="6" t="n"/>
      <c r="U113" s="6" t="n"/>
      <c r="V113" s="6" t="n"/>
      <c r="W113" s="6" t="n"/>
      <c r="X113" s="6" t="n"/>
      <c r="Y113" s="6" t="n"/>
      <c r="Z113" s="6" t="n"/>
    </row>
    <row r="114">
      <c r="A114" s="6" t="n"/>
      <c r="B114" s="6" t="n"/>
      <c r="C114" s="6" t="n"/>
      <c r="D114" s="6" t="n"/>
      <c r="E114" s="6" t="n"/>
      <c r="F114" s="6" t="n"/>
      <c r="G114" s="6" t="n"/>
      <c r="H114" s="6" t="n"/>
      <c r="I114" s="6" t="n"/>
      <c r="J114" s="6" t="n"/>
      <c r="K114" s="6" t="n"/>
      <c r="L114" s="6" t="n"/>
      <c r="M114" s="6" t="n"/>
      <c r="N114" s="6" t="n"/>
      <c r="O114" s="6" t="n"/>
      <c r="P114" s="6" t="n"/>
      <c r="Q114" s="6" t="n"/>
      <c r="R114" s="6" t="n"/>
      <c r="S114" s="6" t="n"/>
      <c r="T114" s="6" t="n"/>
      <c r="U114" s="6" t="n"/>
      <c r="V114" s="6" t="n"/>
      <c r="W114" s="6" t="n"/>
      <c r="X114" s="6" t="n"/>
      <c r="Y114" s="6" t="n"/>
      <c r="Z114" s="6" t="n"/>
    </row>
    <row r="115">
      <c r="A115" s="6" t="n"/>
      <c r="B115" s="6" t="n"/>
      <c r="C115" s="6" t="n"/>
      <c r="D115" s="6" t="n"/>
      <c r="E115" s="6" t="n"/>
      <c r="F115" s="6" t="n"/>
      <c r="G115" s="6" t="n"/>
      <c r="H115" s="6" t="n"/>
      <c r="I115" s="6" t="n"/>
      <c r="J115" s="6" t="n"/>
      <c r="K115" s="6" t="n"/>
      <c r="L115" s="6" t="n"/>
      <c r="M115" s="6" t="n"/>
      <c r="N115" s="6" t="n"/>
      <c r="O115" s="6" t="n"/>
      <c r="P115" s="6" t="n"/>
      <c r="Q115" s="6" t="n"/>
      <c r="R115" s="6" t="n"/>
      <c r="S115" s="6" t="n"/>
      <c r="T115" s="6" t="n"/>
      <c r="U115" s="6" t="n"/>
      <c r="V115" s="6" t="n"/>
      <c r="W115" s="6" t="n"/>
      <c r="X115" s="6" t="n"/>
      <c r="Y115" s="6" t="n"/>
      <c r="Z115" s="6" t="n"/>
    </row>
    <row r="116">
      <c r="A116" s="6" t="n"/>
      <c r="B116" s="6" t="n"/>
      <c r="C116" s="6" t="n"/>
      <c r="D116" s="6" t="n"/>
      <c r="E116" s="6" t="n"/>
      <c r="F116" s="6" t="n"/>
      <c r="G116" s="6" t="n"/>
      <c r="H116" s="6" t="n"/>
      <c r="I116" s="6" t="n"/>
      <c r="J116" s="6" t="n"/>
      <c r="K116" s="6" t="n"/>
      <c r="L116" s="6" t="n"/>
      <c r="M116" s="6" t="n"/>
      <c r="N116" s="6" t="n"/>
      <c r="O116" s="6" t="n"/>
      <c r="P116" s="6" t="n"/>
      <c r="Q116" s="6" t="n"/>
      <c r="R116" s="6" t="n"/>
      <c r="S116" s="6" t="n"/>
      <c r="T116" s="6" t="n"/>
      <c r="U116" s="6" t="n"/>
      <c r="V116" s="6" t="n"/>
      <c r="W116" s="6" t="n"/>
      <c r="X116" s="6" t="n"/>
      <c r="Y116" s="6" t="n"/>
      <c r="Z116" s="6" t="n"/>
    </row>
    <row r="117">
      <c r="A117" s="6" t="n"/>
      <c r="B117" s="6" t="n"/>
      <c r="C117" s="6" t="n"/>
      <c r="D117" s="6" t="n"/>
      <c r="E117" s="6" t="n"/>
      <c r="F117" s="6" t="n"/>
      <c r="G117" s="6" t="n"/>
      <c r="H117" s="6" t="n"/>
      <c r="I117" s="6" t="n"/>
      <c r="J117" s="6" t="n"/>
      <c r="K117" s="6" t="n"/>
      <c r="L117" s="6" t="n"/>
      <c r="M117" s="6" t="n"/>
      <c r="N117" s="6" t="n"/>
      <c r="O117" s="6" t="n"/>
      <c r="P117" s="6" t="n"/>
      <c r="Q117" s="6" t="n"/>
      <c r="R117" s="6" t="n"/>
      <c r="S117" s="6" t="n"/>
      <c r="T117" s="6" t="n"/>
      <c r="U117" s="6" t="n"/>
      <c r="V117" s="6" t="n"/>
      <c r="W117" s="6" t="n"/>
      <c r="X117" s="6" t="n"/>
      <c r="Y117" s="6" t="n"/>
      <c r="Z117" s="6" t="n"/>
    </row>
    <row r="118">
      <c r="A118" s="6" t="n"/>
      <c r="B118" s="6" t="n"/>
      <c r="C118" s="6" t="n"/>
      <c r="D118" s="6" t="n"/>
      <c r="E118" s="6" t="n"/>
      <c r="F118" s="6" t="n"/>
      <c r="G118" s="6" t="n"/>
      <c r="H118" s="6" t="n"/>
      <c r="I118" s="6" t="n"/>
      <c r="J118" s="6" t="n"/>
      <c r="K118" s="6" t="n"/>
      <c r="L118" s="6" t="n"/>
      <c r="M118" s="6" t="n"/>
      <c r="N118" s="6" t="n"/>
      <c r="O118" s="6" t="n"/>
      <c r="P118" s="6" t="n"/>
      <c r="Q118" s="6" t="n"/>
      <c r="R118" s="6" t="n"/>
      <c r="S118" s="6" t="n"/>
      <c r="T118" s="6" t="n"/>
      <c r="U118" s="6" t="n"/>
      <c r="V118" s="6" t="n"/>
      <c r="W118" s="6" t="n"/>
      <c r="X118" s="6" t="n"/>
      <c r="Y118" s="6" t="n"/>
      <c r="Z118" s="6" t="n"/>
    </row>
    <row r="119">
      <c r="A119" s="6" t="n"/>
      <c r="B119" s="6" t="n"/>
      <c r="C119" s="6" t="n"/>
      <c r="D119" s="6" t="n"/>
      <c r="E119" s="6" t="n"/>
      <c r="F119" s="6" t="n"/>
      <c r="G119" s="6" t="n"/>
      <c r="H119" s="6" t="n"/>
      <c r="I119" s="6" t="n"/>
      <c r="J119" s="6" t="n"/>
      <c r="K119" s="6" t="n"/>
      <c r="L119" s="6" t="n"/>
      <c r="M119" s="6" t="n"/>
      <c r="N119" s="6" t="n"/>
      <c r="O119" s="6" t="n"/>
      <c r="P119" s="6" t="n"/>
      <c r="Q119" s="6" t="n"/>
      <c r="R119" s="6" t="n"/>
      <c r="S119" s="6" t="n"/>
      <c r="T119" s="6" t="n"/>
      <c r="U119" s="6" t="n"/>
      <c r="V119" s="6" t="n"/>
      <c r="W119" s="6" t="n"/>
      <c r="X119" s="6" t="n"/>
      <c r="Y119" s="6" t="n"/>
      <c r="Z119" s="6" t="n"/>
    </row>
    <row r="120">
      <c r="A120" s="6" t="n"/>
      <c r="B120" s="6" t="n"/>
      <c r="C120" s="6" t="n"/>
      <c r="D120" s="6" t="n"/>
      <c r="E120" s="6" t="n"/>
      <c r="F120" s="6" t="n"/>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row>
    <row r="121">
      <c r="A121" s="6" t="n"/>
      <c r="B121" s="6" t="n"/>
      <c r="C121" s="6" t="n"/>
      <c r="D121" s="6" t="n"/>
      <c r="E121" s="6" t="n"/>
      <c r="F121" s="6" t="n"/>
      <c r="G121" s="6" t="n"/>
      <c r="H121" s="6" t="n"/>
      <c r="I121" s="6" t="n"/>
      <c r="J121" s="6" t="n"/>
      <c r="K121" s="6" t="n"/>
      <c r="L121" s="6" t="n"/>
      <c r="M121" s="6" t="n"/>
      <c r="N121" s="6" t="n"/>
      <c r="O121" s="6" t="n"/>
      <c r="P121" s="6" t="n"/>
      <c r="Q121" s="6" t="n"/>
      <c r="R121" s="6" t="n"/>
      <c r="S121" s="6" t="n"/>
      <c r="T121" s="6" t="n"/>
      <c r="U121" s="6" t="n"/>
      <c r="V121" s="6" t="n"/>
      <c r="W121" s="6" t="n"/>
      <c r="X121" s="6" t="n"/>
      <c r="Y121" s="6" t="n"/>
      <c r="Z121" s="6" t="n"/>
    </row>
    <row r="122">
      <c r="A122" s="6" t="n"/>
      <c r="B122" s="6" t="n"/>
      <c r="C122" s="6" t="n"/>
      <c r="D122" s="6" t="n"/>
      <c r="E122" s="6" t="n"/>
      <c r="F122" s="6" t="n"/>
      <c r="G122" s="6" t="n"/>
      <c r="H122" s="6" t="n"/>
      <c r="I122" s="6" t="n"/>
      <c r="J122" s="6" t="n"/>
      <c r="K122" s="6" t="n"/>
      <c r="L122" s="6" t="n"/>
      <c r="M122" s="6" t="n"/>
      <c r="N122" s="6" t="n"/>
      <c r="O122" s="6" t="n"/>
      <c r="P122" s="6" t="n"/>
      <c r="Q122" s="6" t="n"/>
      <c r="R122" s="6" t="n"/>
      <c r="S122" s="6" t="n"/>
      <c r="T122" s="6" t="n"/>
      <c r="U122" s="6" t="n"/>
      <c r="V122" s="6" t="n"/>
      <c r="W122" s="6" t="n"/>
      <c r="X122" s="6" t="n"/>
      <c r="Y122" s="6" t="n"/>
      <c r="Z122" s="6" t="n"/>
    </row>
    <row r="123">
      <c r="A123" s="6" t="n"/>
      <c r="B123" s="6" t="n"/>
      <c r="C123" s="6" t="n"/>
      <c r="D123" s="6" t="n"/>
      <c r="E123" s="6" t="n"/>
      <c r="F123" s="6" t="n"/>
      <c r="G123" s="6" t="n"/>
      <c r="H123" s="6" t="n"/>
      <c r="I123" s="6" t="n"/>
      <c r="J123" s="6" t="n"/>
      <c r="K123" s="6" t="n"/>
      <c r="L123" s="6" t="n"/>
      <c r="M123" s="6" t="n"/>
      <c r="N123" s="6" t="n"/>
      <c r="O123" s="6" t="n"/>
      <c r="P123" s="6" t="n"/>
      <c r="Q123" s="6" t="n"/>
      <c r="R123" s="6" t="n"/>
      <c r="S123" s="6" t="n"/>
      <c r="T123" s="6" t="n"/>
      <c r="U123" s="6" t="n"/>
      <c r="V123" s="6" t="n"/>
      <c r="W123" s="6" t="n"/>
      <c r="X123" s="6" t="n"/>
      <c r="Y123" s="6" t="n"/>
      <c r="Z123" s="6" t="n"/>
    </row>
    <row r="124">
      <c r="A124" s="6" t="n"/>
      <c r="B124" s="6" t="n"/>
      <c r="C124" s="6" t="n"/>
      <c r="D124" s="6" t="n"/>
      <c r="E124" s="6" t="n"/>
      <c r="F124" s="6" t="n"/>
      <c r="G124" s="6" t="n"/>
      <c r="H124" s="6" t="n"/>
      <c r="I124" s="6" t="n"/>
      <c r="J124" s="6" t="n"/>
      <c r="K124" s="6" t="n"/>
      <c r="L124" s="6" t="n"/>
      <c r="M124" s="6" t="n"/>
      <c r="N124" s="6" t="n"/>
      <c r="O124" s="6" t="n"/>
      <c r="P124" s="6" t="n"/>
      <c r="Q124" s="6" t="n"/>
      <c r="R124" s="6" t="n"/>
      <c r="S124" s="6" t="n"/>
      <c r="T124" s="6" t="n"/>
      <c r="U124" s="6" t="n"/>
      <c r="V124" s="6" t="n"/>
      <c r="W124" s="6" t="n"/>
      <c r="X124" s="6" t="n"/>
      <c r="Y124" s="6" t="n"/>
      <c r="Z124" s="6" t="n"/>
    </row>
    <row r="125">
      <c r="A125" s="6" t="n"/>
      <c r="B125" s="6" t="n"/>
      <c r="C125" s="6" t="n"/>
      <c r="D125" s="6" t="n"/>
      <c r="E125" s="6" t="n"/>
      <c r="F125" s="6" t="n"/>
      <c r="G125" s="6" t="n"/>
      <c r="H125" s="6" t="n"/>
      <c r="I125" s="6" t="n"/>
      <c r="J125" s="6" t="n"/>
      <c r="K125" s="6" t="n"/>
      <c r="L125" s="6" t="n"/>
      <c r="M125" s="6" t="n"/>
      <c r="N125" s="6" t="n"/>
      <c r="O125" s="6" t="n"/>
      <c r="P125" s="6" t="n"/>
      <c r="Q125" s="6" t="n"/>
      <c r="R125" s="6" t="n"/>
      <c r="S125" s="6" t="n"/>
      <c r="T125" s="6" t="n"/>
      <c r="U125" s="6" t="n"/>
      <c r="V125" s="6" t="n"/>
      <c r="W125" s="6" t="n"/>
      <c r="X125" s="6" t="n"/>
      <c r="Y125" s="6" t="n"/>
      <c r="Z125" s="6" t="n"/>
    </row>
    <row r="126">
      <c r="A126" s="6" t="n"/>
      <c r="B126" s="6" t="n"/>
      <c r="C126" s="6" t="n"/>
      <c r="D126" s="6" t="n"/>
      <c r="E126" s="6" t="n"/>
      <c r="F126" s="6" t="n"/>
      <c r="G126" s="6" t="n"/>
      <c r="H126" s="6" t="n"/>
      <c r="I126" s="6" t="n"/>
      <c r="J126" s="6" t="n"/>
      <c r="K126" s="6" t="n"/>
      <c r="L126" s="6" t="n"/>
      <c r="M126" s="6" t="n"/>
      <c r="N126" s="6" t="n"/>
      <c r="O126" s="6" t="n"/>
      <c r="P126" s="6" t="n"/>
      <c r="Q126" s="6" t="n"/>
      <c r="R126" s="6" t="n"/>
      <c r="S126" s="6" t="n"/>
      <c r="T126" s="6" t="n"/>
      <c r="U126" s="6" t="n"/>
      <c r="V126" s="6" t="n"/>
      <c r="W126" s="6" t="n"/>
      <c r="X126" s="6" t="n"/>
      <c r="Y126" s="6" t="n"/>
      <c r="Z126" s="6" t="n"/>
    </row>
    <row r="127">
      <c r="A127" s="6" t="n"/>
      <c r="B127" s="6" t="n"/>
      <c r="C127" s="6" t="n"/>
      <c r="D127" s="6" t="n"/>
      <c r="E127" s="6" t="n"/>
      <c r="F127" s="6" t="n"/>
      <c r="G127" s="6" t="n"/>
      <c r="H127" s="6" t="n"/>
      <c r="I127" s="6" t="n"/>
      <c r="J127" s="6" t="n"/>
      <c r="K127" s="6" t="n"/>
      <c r="L127" s="6" t="n"/>
      <c r="M127" s="6" t="n"/>
      <c r="N127" s="6" t="n"/>
      <c r="O127" s="6" t="n"/>
      <c r="P127" s="6" t="n"/>
      <c r="Q127" s="6" t="n"/>
      <c r="R127" s="6" t="n"/>
      <c r="S127" s="6" t="n"/>
      <c r="T127" s="6" t="n"/>
      <c r="U127" s="6" t="n"/>
      <c r="V127" s="6" t="n"/>
      <c r="W127" s="6" t="n"/>
      <c r="X127" s="6" t="n"/>
      <c r="Y127" s="6" t="n"/>
      <c r="Z127" s="6" t="n"/>
    </row>
    <row r="128">
      <c r="A128" s="6" t="n"/>
      <c r="B128" s="6" t="n"/>
      <c r="C128" s="6" t="n"/>
      <c r="D128" s="6" t="n"/>
      <c r="E128" s="6" t="n"/>
      <c r="F128" s="6" t="n"/>
      <c r="G128" s="6" t="n"/>
      <c r="H128" s="6" t="n"/>
      <c r="I128" s="6" t="n"/>
      <c r="J128" s="6" t="n"/>
      <c r="K128" s="6" t="n"/>
      <c r="L128" s="6" t="n"/>
      <c r="M128" s="6" t="n"/>
      <c r="N128" s="6" t="n"/>
      <c r="O128" s="6" t="n"/>
      <c r="P128" s="6" t="n"/>
      <c r="Q128" s="6" t="n"/>
      <c r="R128" s="6" t="n"/>
      <c r="S128" s="6" t="n"/>
      <c r="T128" s="6" t="n"/>
      <c r="U128" s="6" t="n"/>
      <c r="V128" s="6" t="n"/>
      <c r="W128" s="6" t="n"/>
      <c r="X128" s="6" t="n"/>
      <c r="Y128" s="6" t="n"/>
      <c r="Z128" s="6" t="n"/>
    </row>
    <row r="129">
      <c r="A129" s="6" t="n"/>
      <c r="B129" s="6" t="n"/>
      <c r="C129" s="6" t="n"/>
      <c r="D129" s="6" t="n"/>
      <c r="E129" s="6" t="n"/>
      <c r="F129" s="6" t="n"/>
      <c r="G129" s="6" t="n"/>
      <c r="H129" s="6" t="n"/>
      <c r="I129" s="6" t="n"/>
      <c r="J129" s="6" t="n"/>
      <c r="K129" s="6" t="n"/>
      <c r="L129" s="6" t="n"/>
      <c r="M129" s="6" t="n"/>
      <c r="N129" s="6" t="n"/>
      <c r="O129" s="6" t="n"/>
      <c r="P129" s="6" t="n"/>
      <c r="Q129" s="6" t="n"/>
      <c r="R129" s="6" t="n"/>
      <c r="S129" s="6" t="n"/>
      <c r="T129" s="6" t="n"/>
      <c r="U129" s="6" t="n"/>
      <c r="V129" s="6" t="n"/>
      <c r="W129" s="6" t="n"/>
      <c r="X129" s="6" t="n"/>
      <c r="Y129" s="6" t="n"/>
      <c r="Z129" s="6" t="n"/>
    </row>
    <row r="130">
      <c r="A130" s="6" t="n"/>
      <c r="B130" s="6" t="n"/>
      <c r="C130" s="6" t="n"/>
      <c r="D130" s="6" t="n"/>
      <c r="E130" s="6" t="n"/>
      <c r="F130" s="6" t="n"/>
      <c r="G130" s="6" t="n"/>
      <c r="H130" s="6" t="n"/>
      <c r="I130" s="6" t="n"/>
      <c r="J130" s="6" t="n"/>
      <c r="K130" s="6" t="n"/>
      <c r="L130" s="6" t="n"/>
      <c r="M130" s="6" t="n"/>
      <c r="N130" s="6" t="n"/>
      <c r="O130" s="6" t="n"/>
      <c r="P130" s="6" t="n"/>
      <c r="Q130" s="6" t="n"/>
      <c r="R130" s="6" t="n"/>
      <c r="S130" s="6" t="n"/>
      <c r="T130" s="6" t="n"/>
      <c r="U130" s="6" t="n"/>
      <c r="V130" s="6" t="n"/>
      <c r="W130" s="6" t="n"/>
      <c r="X130" s="6" t="n"/>
      <c r="Y130" s="6" t="n"/>
      <c r="Z130" s="6" t="n"/>
    </row>
    <row r="131">
      <c r="A131" s="6" t="n"/>
      <c r="B131" s="6" t="n"/>
      <c r="C131" s="6" t="n"/>
      <c r="D131" s="6" t="n"/>
      <c r="E131" s="6" t="n"/>
      <c r="F131" s="6" t="n"/>
      <c r="G131" s="6" t="n"/>
      <c r="H131" s="6" t="n"/>
      <c r="I131" s="6" t="n"/>
      <c r="J131" s="6" t="n"/>
      <c r="K131" s="6" t="n"/>
      <c r="L131" s="6" t="n"/>
      <c r="M131" s="6" t="n"/>
      <c r="N131" s="6" t="n"/>
      <c r="O131" s="6" t="n"/>
      <c r="P131" s="6" t="n"/>
      <c r="Q131" s="6" t="n"/>
      <c r="R131" s="6" t="n"/>
      <c r="S131" s="6" t="n"/>
      <c r="T131" s="6" t="n"/>
      <c r="U131" s="6" t="n"/>
      <c r="V131" s="6" t="n"/>
      <c r="W131" s="6" t="n"/>
      <c r="X131" s="6" t="n"/>
      <c r="Y131" s="6" t="n"/>
      <c r="Z131" s="6" t="n"/>
    </row>
    <row r="132">
      <c r="A132" s="6" t="n"/>
      <c r="B132" s="6" t="n"/>
      <c r="C132" s="6" t="n"/>
      <c r="D132" s="6" t="n"/>
      <c r="E132" s="6" t="n"/>
      <c r="F132" s="6" t="n"/>
      <c r="G132" s="6" t="n"/>
      <c r="H132" s="6" t="n"/>
      <c r="I132" s="6" t="n"/>
      <c r="J132" s="6" t="n"/>
      <c r="K132" s="6" t="n"/>
      <c r="L132" s="6" t="n"/>
      <c r="M132" s="6" t="n"/>
      <c r="N132" s="6" t="n"/>
      <c r="O132" s="6" t="n"/>
      <c r="P132" s="6" t="n"/>
      <c r="Q132" s="6" t="n"/>
      <c r="R132" s="6" t="n"/>
      <c r="S132" s="6" t="n"/>
      <c r="T132" s="6" t="n"/>
      <c r="U132" s="6" t="n"/>
      <c r="V132" s="6" t="n"/>
      <c r="W132" s="6" t="n"/>
      <c r="X132" s="6" t="n"/>
      <c r="Y132" s="6" t="n"/>
      <c r="Z132" s="6" t="n"/>
    </row>
    <row r="133">
      <c r="A133" s="6" t="n"/>
      <c r="B133" s="6" t="n"/>
      <c r="C133" s="6" t="n"/>
      <c r="D133" s="6" t="n"/>
      <c r="E133" s="6" t="n"/>
      <c r="F133" s="6" t="n"/>
      <c r="G133" s="6" t="n"/>
      <c r="H133" s="6" t="n"/>
      <c r="I133" s="6" t="n"/>
      <c r="J133" s="6" t="n"/>
      <c r="K133" s="6" t="n"/>
      <c r="L133" s="6" t="n"/>
      <c r="M133" s="6" t="n"/>
      <c r="N133" s="6" t="n"/>
      <c r="O133" s="6" t="n"/>
      <c r="P133" s="6" t="n"/>
      <c r="Q133" s="6" t="n"/>
      <c r="R133" s="6" t="n"/>
      <c r="S133" s="6" t="n"/>
      <c r="T133" s="6" t="n"/>
      <c r="U133" s="6" t="n"/>
      <c r="V133" s="6" t="n"/>
      <c r="W133" s="6" t="n"/>
      <c r="X133" s="6" t="n"/>
      <c r="Y133" s="6" t="n"/>
      <c r="Z133" s="6" t="n"/>
    </row>
    <row r="134">
      <c r="A134" s="6" t="n"/>
      <c r="B134" s="6" t="n"/>
      <c r="C134" s="6" t="n"/>
      <c r="D134" s="6" t="n"/>
      <c r="E134" s="6" t="n"/>
      <c r="F134" s="6" t="n"/>
      <c r="G134" s="6" t="n"/>
      <c r="H134" s="6" t="n"/>
      <c r="I134" s="6" t="n"/>
      <c r="J134" s="6" t="n"/>
      <c r="K134" s="6" t="n"/>
      <c r="L134" s="6" t="n"/>
      <c r="M134" s="6" t="n"/>
      <c r="N134" s="6" t="n"/>
      <c r="O134" s="6" t="n"/>
      <c r="P134" s="6" t="n"/>
      <c r="Q134" s="6" t="n"/>
      <c r="R134" s="6" t="n"/>
      <c r="S134" s="6" t="n"/>
      <c r="T134" s="6" t="n"/>
      <c r="U134" s="6" t="n"/>
      <c r="V134" s="6" t="n"/>
      <c r="W134" s="6" t="n"/>
      <c r="X134" s="6" t="n"/>
      <c r="Y134" s="6" t="n"/>
      <c r="Z134" s="6" t="n"/>
    </row>
    <row r="135">
      <c r="A135" s="6" t="n"/>
      <c r="B135" s="6" t="n"/>
      <c r="C135" s="6" t="n"/>
      <c r="D135" s="6" t="n"/>
      <c r="E135" s="6" t="n"/>
      <c r="F135" s="6" t="n"/>
      <c r="G135" s="6" t="n"/>
      <c r="H135" s="6" t="n"/>
      <c r="I135" s="6" t="n"/>
      <c r="J135" s="6" t="n"/>
      <c r="K135" s="6" t="n"/>
      <c r="L135" s="6" t="n"/>
      <c r="M135" s="6" t="n"/>
      <c r="N135" s="6" t="n"/>
      <c r="O135" s="6" t="n"/>
      <c r="P135" s="6" t="n"/>
      <c r="Q135" s="6" t="n"/>
      <c r="R135" s="6" t="n"/>
      <c r="S135" s="6" t="n"/>
      <c r="T135" s="6" t="n"/>
      <c r="U135" s="6" t="n"/>
      <c r="V135" s="6" t="n"/>
      <c r="W135" s="6" t="n"/>
      <c r="X135" s="6" t="n"/>
      <c r="Y135" s="6" t="n"/>
      <c r="Z135" s="6" t="n"/>
    </row>
    <row r="136">
      <c r="A136" s="6" t="n"/>
      <c r="B136" s="6" t="n"/>
      <c r="C136" s="6" t="n"/>
      <c r="D136" s="6" t="n"/>
      <c r="E136" s="6" t="n"/>
      <c r="F136" s="6" t="n"/>
      <c r="G136" s="6" t="n"/>
      <c r="H136" s="6" t="n"/>
      <c r="I136" s="6" t="n"/>
      <c r="J136" s="6" t="n"/>
      <c r="K136" s="6" t="n"/>
      <c r="L136" s="6" t="n"/>
      <c r="M136" s="6" t="n"/>
      <c r="N136" s="6" t="n"/>
      <c r="O136" s="6" t="n"/>
      <c r="P136" s="6" t="n"/>
      <c r="Q136" s="6" t="n"/>
      <c r="R136" s="6" t="n"/>
      <c r="S136" s="6" t="n"/>
      <c r="T136" s="6" t="n"/>
      <c r="U136" s="6" t="n"/>
      <c r="V136" s="6" t="n"/>
      <c r="W136" s="6" t="n"/>
      <c r="X136" s="6" t="n"/>
      <c r="Y136" s="6" t="n"/>
      <c r="Z136" s="6" t="n"/>
    </row>
    <row r="137">
      <c r="A137" s="6" t="n"/>
      <c r="B137" s="6" t="n"/>
      <c r="C137" s="6" t="n"/>
      <c r="D137" s="6" t="n"/>
      <c r="E137" s="6" t="n"/>
      <c r="F137" s="6" t="n"/>
      <c r="G137" s="6" t="n"/>
      <c r="H137" s="6" t="n"/>
      <c r="I137" s="6" t="n"/>
      <c r="J137" s="6" t="n"/>
      <c r="K137" s="6" t="n"/>
      <c r="L137" s="6" t="n"/>
      <c r="M137" s="6" t="n"/>
      <c r="N137" s="6" t="n"/>
      <c r="O137" s="6" t="n"/>
      <c r="P137" s="6" t="n"/>
      <c r="Q137" s="6" t="n"/>
      <c r="R137" s="6" t="n"/>
      <c r="S137" s="6" t="n"/>
      <c r="T137" s="6" t="n"/>
      <c r="U137" s="6" t="n"/>
      <c r="V137" s="6" t="n"/>
      <c r="W137" s="6" t="n"/>
      <c r="X137" s="6" t="n"/>
      <c r="Y137" s="6" t="n"/>
      <c r="Z137" s="6" t="n"/>
    </row>
    <row r="138">
      <c r="A138" s="6" t="n"/>
      <c r="B138" s="6" t="n"/>
      <c r="C138" s="6" t="n"/>
      <c r="D138" s="6" t="n"/>
      <c r="E138" s="6" t="n"/>
      <c r="F138" s="6" t="n"/>
      <c r="G138" s="6" t="n"/>
      <c r="H138" s="6" t="n"/>
      <c r="I138" s="6" t="n"/>
      <c r="J138" s="6" t="n"/>
      <c r="K138" s="6" t="n"/>
      <c r="L138" s="6" t="n"/>
      <c r="M138" s="6" t="n"/>
      <c r="N138" s="6" t="n"/>
      <c r="O138" s="6" t="n"/>
      <c r="P138" s="6" t="n"/>
      <c r="Q138" s="6" t="n"/>
      <c r="R138" s="6" t="n"/>
      <c r="S138" s="6" t="n"/>
      <c r="T138" s="6" t="n"/>
      <c r="U138" s="6" t="n"/>
      <c r="V138" s="6" t="n"/>
      <c r="W138" s="6" t="n"/>
      <c r="X138" s="6" t="n"/>
      <c r="Y138" s="6" t="n"/>
      <c r="Z138" s="6" t="n"/>
    </row>
    <row r="139">
      <c r="A139" s="6" t="n"/>
      <c r="B139" s="6" t="n"/>
      <c r="C139" s="6" t="n"/>
      <c r="D139" s="6" t="n"/>
      <c r="E139" s="6" t="n"/>
      <c r="F139" s="6" t="n"/>
      <c r="G139" s="6" t="n"/>
      <c r="H139" s="6" t="n"/>
      <c r="I139" s="6" t="n"/>
      <c r="J139" s="6" t="n"/>
      <c r="K139" s="6" t="n"/>
      <c r="L139" s="6" t="n"/>
      <c r="M139" s="6" t="n"/>
      <c r="N139" s="6" t="n"/>
      <c r="O139" s="6" t="n"/>
      <c r="P139" s="6" t="n"/>
      <c r="Q139" s="6" t="n"/>
      <c r="R139" s="6" t="n"/>
      <c r="S139" s="6" t="n"/>
      <c r="T139" s="6" t="n"/>
      <c r="U139" s="6" t="n"/>
      <c r="V139" s="6" t="n"/>
      <c r="W139" s="6" t="n"/>
      <c r="X139" s="6" t="n"/>
      <c r="Y139" s="6" t="n"/>
      <c r="Z139" s="6" t="n"/>
    </row>
  </sheetData>
  <mergeCells count="126">
    <mergeCell ref="G21:H21"/>
    <mergeCell ref="C39:F39"/>
    <mergeCell ref="K44:P44"/>
    <mergeCell ref="K22:P22"/>
    <mergeCell ref="K31:P31"/>
    <mergeCell ref="G23:H23"/>
    <mergeCell ref="C32:F32"/>
    <mergeCell ref="C37:F37"/>
    <mergeCell ref="K12:P12"/>
    <mergeCell ref="C13:F13"/>
    <mergeCell ref="K14:P14"/>
    <mergeCell ref="K48:P48"/>
    <mergeCell ref="C15:F15"/>
    <mergeCell ref="K23:P23"/>
    <mergeCell ref="C24:F24"/>
    <mergeCell ref="G18:H18"/>
    <mergeCell ref="K38:P38"/>
    <mergeCell ref="G34:H34"/>
    <mergeCell ref="C26:F26"/>
    <mergeCell ref="C41:F41"/>
    <mergeCell ref="K49:P49"/>
    <mergeCell ref="C50:F50"/>
    <mergeCell ref="K24:P24"/>
    <mergeCell ref="G20:H20"/>
    <mergeCell ref="K33:P33"/>
    <mergeCell ref="B6:F6"/>
    <mergeCell ref="C43:F43"/>
    <mergeCell ref="K26:P26"/>
    <mergeCell ref="G44:H44"/>
    <mergeCell ref="G22:H22"/>
    <mergeCell ref="C27:F27"/>
    <mergeCell ref="K35:P35"/>
    <mergeCell ref="C36:F36"/>
    <mergeCell ref="G12:H12"/>
    <mergeCell ref="C17:F17"/>
    <mergeCell ref="C19:F19"/>
    <mergeCell ref="G48:H48"/>
    <mergeCell ref="C28:F28"/>
    <mergeCell ref="G38:H38"/>
    <mergeCell ref="C30:F30"/>
    <mergeCell ref="K39:P39"/>
    <mergeCell ref="C14:F14"/>
    <mergeCell ref="G49:H49"/>
    <mergeCell ref="G24:H24"/>
    <mergeCell ref="K37:P37"/>
    <mergeCell ref="G33:H33"/>
    <mergeCell ref="K13:P13"/>
    <mergeCell ref="G26:H26"/>
    <mergeCell ref="G4:K4"/>
    <mergeCell ref="G35:H35"/>
    <mergeCell ref="C40:F40"/>
    <mergeCell ref="K15:P15"/>
    <mergeCell ref="G16:H16"/>
    <mergeCell ref="G25:H25"/>
    <mergeCell ref="B5:F5"/>
    <mergeCell ref="K21:P21"/>
    <mergeCell ref="B4:F4"/>
    <mergeCell ref="K41:P41"/>
    <mergeCell ref="K50:P50"/>
    <mergeCell ref="G11:H11"/>
    <mergeCell ref="G42:H42"/>
    <mergeCell ref="K43:P43"/>
    <mergeCell ref="G39:H39"/>
    <mergeCell ref="C18:F18"/>
    <mergeCell ref="K27:P27"/>
    <mergeCell ref="C34:F34"/>
    <mergeCell ref="K42:P42"/>
    <mergeCell ref="G37:H37"/>
    <mergeCell ref="K17:P17"/>
    <mergeCell ref="G13:H13"/>
    <mergeCell ref="G6:K6"/>
    <mergeCell ref="C45:F45"/>
    <mergeCell ref="K19:P19"/>
    <mergeCell ref="G15:H15"/>
    <mergeCell ref="C20:F20"/>
    <mergeCell ref="K28:P28"/>
    <mergeCell ref="C29:F29"/>
    <mergeCell ref="G5:K5"/>
    <mergeCell ref="C47:F47"/>
    <mergeCell ref="K25:P25"/>
    <mergeCell ref="C44:F44"/>
    <mergeCell ref="C22:F22"/>
    <mergeCell ref="K30:P30"/>
    <mergeCell ref="C31:F31"/>
    <mergeCell ref="G32:H32"/>
    <mergeCell ref="K45:P45"/>
    <mergeCell ref="C12:F12"/>
    <mergeCell ref="G41:H41"/>
    <mergeCell ref="C46:F46"/>
    <mergeCell ref="C21:F21"/>
    <mergeCell ref="G50:H50"/>
    <mergeCell ref="K11:P11"/>
    <mergeCell ref="K47:P47"/>
    <mergeCell ref="G43:H43"/>
    <mergeCell ref="C48:F48"/>
    <mergeCell ref="C23:F23"/>
    <mergeCell ref="K32:P32"/>
    <mergeCell ref="K46:P46"/>
    <mergeCell ref="G27:H27"/>
    <mergeCell ref="K40:P40"/>
    <mergeCell ref="C38:F38"/>
    <mergeCell ref="G36:H36"/>
    <mergeCell ref="G17:H17"/>
    <mergeCell ref="C49:F49"/>
    <mergeCell ref="G19:H19"/>
    <mergeCell ref="G28:H28"/>
    <mergeCell ref="C33:F33"/>
    <mergeCell ref="C42:F42"/>
    <mergeCell ref="G30:H30"/>
    <mergeCell ref="C35:F35"/>
    <mergeCell ref="K18:P18"/>
    <mergeCell ref="C16:F16"/>
    <mergeCell ref="G14:H14"/>
    <mergeCell ref="G45:H45"/>
    <mergeCell ref="C25:F25"/>
    <mergeCell ref="K34:P34"/>
    <mergeCell ref="K16:P16"/>
    <mergeCell ref="G29:H29"/>
    <mergeCell ref="G47:H47"/>
    <mergeCell ref="K36:P36"/>
    <mergeCell ref="G31:H31"/>
    <mergeCell ref="G46:H46"/>
    <mergeCell ref="C11:F11"/>
    <mergeCell ref="G40:H40"/>
    <mergeCell ref="K20:P20"/>
    <mergeCell ref="K29:P29"/>
  </mergeCells>
  <conditionalFormatting sqref="J11:J50">
    <cfRule type="expression" priority="1" dxfId="0">
      <formula>AND(J11&lt;&gt;"",J11=0)</formula>
    </cfRule>
    <cfRule type="expression" priority="2" dxfId="2">
      <formula>AND(J11&lt;&gt;"",J11&gt;0,J11&lt;1)</formula>
    </cfRule>
  </conditionalFormatting>
  <pageMargins left="0.75" right="0.75" top="1" bottom="1" header="0.5" footer="0.5"/>
  <pageSetup orientation="landscape" fitToHeight="0" fitToWidth="1"/>
</worksheet>
</file>

<file path=xl/worksheets/sheet5.xml><?xml version="1.0" encoding="utf-8"?>
<worksheet xmlns="http://schemas.openxmlformats.org/spreadsheetml/2006/main">
  <sheetPr>
    <tabColor rgb="00E0A526"/>
    <outlinePr summaryBelow="1" summaryRight="1"/>
    <pageSetUpPr fitToPage="1"/>
  </sheetPr>
  <dimension ref="A1:Z139"/>
  <sheetViews>
    <sheetView showGridLines="0" tabSelected="0" zoomScale="90" workbookViewId="0">
      <selection activeCell="A1" sqref="A1"/>
    </sheetView>
  </sheetViews>
  <sheetFormatPr baseColWidth="8" defaultRowHeight="15"/>
  <cols>
    <col width="2"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hidden="1" width="11" customWidth="1" min="24" max="24"/>
    <col hidden="1" width="11" customWidth="1" min="25" max="25"/>
    <col hidden="1" width="11" customWidth="1" min="26" max="26"/>
  </cols>
  <sheetData>
    <row r="1" ht="30" customHeight="1">
      <c r="A1" s="6" t="n"/>
      <c r="B1" s="7">
        <f>"OPS readiness – report "&amp;TEXT(DATEVALUE('Thong tin'!$A$2),"d mmm yyyy")</f>
        <v/>
      </c>
      <c r="C1" s="6" t="n"/>
      <c r="D1" s="6" t="n"/>
      <c r="E1" s="6" t="n"/>
      <c r="F1" s="6" t="n"/>
      <c r="G1" s="6" t="n"/>
      <c r="H1" s="6" t="n"/>
      <c r="I1" s="6" t="n"/>
      <c r="J1" s="6" t="n"/>
      <c r="K1" s="6" t="n"/>
      <c r="L1" s="6" t="n"/>
      <c r="M1" s="6" t="n"/>
      <c r="N1" s="6" t="n"/>
      <c r="O1" s="6" t="n"/>
      <c r="P1" s="6" t="n"/>
      <c r="Q1" s="6" t="n"/>
      <c r="R1" s="6" t="n"/>
      <c r="S1" s="6" t="n"/>
      <c r="T1" s="6" t="n"/>
      <c r="U1" s="6" t="n"/>
      <c r="V1" s="6" t="n"/>
      <c r="W1" s="6" t="n"/>
      <c r="X1" s="6" t="n"/>
      <c r="Y1" s="6" t="n"/>
      <c r="Z1" s="6" t="n"/>
    </row>
    <row r="2">
      <c r="A2" s="6" t="n"/>
      <c r="B2" s="8" t="inlineStr">
        <is>
          <t>Tendering pipeline, packages without PR, applications, logistics and permit register.</t>
        </is>
      </c>
      <c r="C2" s="6" t="n"/>
      <c r="D2" s="6" t="n"/>
      <c r="E2" s="6" t="n"/>
      <c r="F2" s="6" t="n"/>
      <c r="G2" s="6" t="n"/>
      <c r="H2" s="6" t="n"/>
      <c r="I2" s="6" t="n"/>
      <c r="J2" s="6" t="n"/>
      <c r="K2" s="6" t="n"/>
      <c r="L2" s="6" t="n"/>
      <c r="M2" s="6" t="n"/>
      <c r="N2" s="6" t="n"/>
      <c r="O2" s="6" t="n"/>
      <c r="P2" s="6" t="n"/>
      <c r="Q2" s="6" t="n"/>
      <c r="R2" s="6" t="n"/>
      <c r="S2" s="6" t="n"/>
      <c r="T2" s="6" t="n"/>
      <c r="U2" s="6" t="n"/>
      <c r="V2" s="6" t="n"/>
      <c r="W2" s="6" t="n"/>
      <c r="X2" s="6" t="n"/>
      <c r="Y2" s="6" t="n"/>
      <c r="Z2" s="6" t="n"/>
    </row>
    <row r="3">
      <c r="A3" s="6" t="n"/>
      <c r="B3" s="6" t="n"/>
      <c r="C3" s="6" t="n"/>
      <c r="D3" s="6" t="n"/>
      <c r="E3" s="6" t="n"/>
      <c r="F3" s="6" t="n"/>
      <c r="G3" s="6" t="n"/>
      <c r="H3" s="6" t="n"/>
      <c r="I3" s="6" t="n"/>
      <c r="J3" s="6" t="n"/>
      <c r="K3" s="6" t="n"/>
      <c r="L3" s="6" t="n"/>
      <c r="M3" s="6" t="n"/>
      <c r="N3" s="6" t="n"/>
      <c r="O3" s="6" t="n"/>
      <c r="P3" s="6" t="n"/>
      <c r="Q3" s="6" t="n"/>
      <c r="R3" s="6" t="n"/>
      <c r="S3" s="6" t="n"/>
      <c r="T3" s="6" t="n"/>
      <c r="U3" s="6" t="n"/>
      <c r="V3" s="6" t="n"/>
      <c r="W3" s="6" t="n"/>
      <c r="X3" s="6" t="n"/>
      <c r="Y3" s="6" t="n"/>
      <c r="Z3" s="6" t="n"/>
    </row>
    <row r="4">
      <c r="A4" s="6" t="n"/>
      <c r="B4" s="22" t="inlineStr">
        <is>
          <t>PRs in progress by stage</t>
        </is>
      </c>
      <c r="C4" s="6" t="n"/>
      <c r="D4" s="6" t="n"/>
      <c r="E4" s="6" t="n"/>
      <c r="F4" s="6" t="n"/>
      <c r="G4" s="6" t="n"/>
      <c r="H4" s="6" t="n"/>
      <c r="I4" s="6" t="n"/>
      <c r="J4" s="22" t="inlineStr">
        <is>
          <t>Packages without PR</t>
        </is>
      </c>
      <c r="K4" s="6" t="n"/>
      <c r="L4" s="6" t="n"/>
      <c r="M4" s="6" t="n"/>
      <c r="N4" s="22" t="inlineStr">
        <is>
          <t>CMMS (OA) – actual vs plan</t>
        </is>
      </c>
      <c r="O4" s="6" t="n"/>
      <c r="P4" s="6" t="n"/>
      <c r="Q4" s="6" t="n"/>
      <c r="R4" s="6" t="n"/>
      <c r="S4" s="6" t="n"/>
      <c r="T4" s="6" t="n"/>
      <c r="U4" s="6" t="n"/>
      <c r="V4" s="6" t="n"/>
      <c r="W4" s="6" t="n"/>
      <c r="X4" s="6" t="n"/>
      <c r="Y4" s="6" t="n"/>
      <c r="Z4" s="6" t="n"/>
    </row>
    <row r="5">
      <c r="A5" s="6" t="n"/>
      <c r="B5" s="23" t="inlineStr">
        <is>
          <t>Count by schedule status. Stage names must match the "PR dang xu ly" data sheet.</t>
        </is>
      </c>
      <c r="C5" s="6" t="n"/>
      <c r="D5" s="6" t="n"/>
      <c r="E5" s="6" t="n"/>
      <c r="F5" s="6" t="n"/>
      <c r="G5" s="6" t="n"/>
      <c r="H5" s="6" t="n"/>
      <c r="I5" s="6" t="n"/>
      <c r="J5" s="6" t="n"/>
      <c r="K5" s="6" t="n"/>
      <c r="L5" s="6" t="n"/>
      <c r="M5" s="6" t="n"/>
      <c r="N5" s="6" t="n"/>
      <c r="O5" s="6" t="n"/>
      <c r="P5" s="6" t="n"/>
      <c r="Q5" s="6" t="n"/>
      <c r="R5" s="6" t="n"/>
      <c r="S5" s="6" t="n"/>
      <c r="T5" s="6" t="n"/>
      <c r="U5" s="6" t="n"/>
      <c r="V5" s="6" t="n"/>
      <c r="W5" s="6" t="n"/>
      <c r="X5" s="6" t="n"/>
      <c r="Y5" s="6" t="n"/>
      <c r="Z5" s="6" t="n"/>
    </row>
    <row r="6">
      <c r="A6" s="6" t="n"/>
      <c r="B6" s="24" t="inlineStr">
        <is>
          <t>Stage</t>
        </is>
      </c>
      <c r="C6" s="24" t="inlineStr"/>
      <c r="D6" s="24" t="inlineStr">
        <is>
          <t>Late</t>
        </is>
      </c>
      <c r="E6" s="24" t="inlineStr">
        <is>
          <t>Near-late</t>
        </is>
      </c>
      <c r="F6" s="24" t="inlineStr">
        <is>
          <t>On time</t>
        </is>
      </c>
      <c r="G6" s="24" t="inlineStr">
        <is>
          <t>Total</t>
        </is>
      </c>
      <c r="H6" s="6" t="n"/>
      <c r="I6" s="6" t="n"/>
      <c r="J6" s="24" t="inlineStr">
        <is>
          <t>Procurement status</t>
        </is>
      </c>
      <c r="K6" s="24" t="inlineStr"/>
      <c r="L6" s="24" t="inlineStr">
        <is>
          <t>Packages</t>
        </is>
      </c>
      <c r="M6" s="6" t="n"/>
      <c r="N6" s="24" t="inlineStr">
        <is>
          <t>Package</t>
        </is>
      </c>
      <c r="O6" s="24" t="inlineStr">
        <is>
          <t>Actual</t>
        </is>
      </c>
      <c r="P6" s="24" t="inlineStr">
        <is>
          <t>Plan</t>
        </is>
      </c>
      <c r="Q6" s="24" t="inlineStr">
        <is>
          <t>Gap (pts)</t>
        </is>
      </c>
      <c r="R6" s="6" t="n"/>
      <c r="S6" s="6" t="n"/>
      <c r="T6" s="6" t="n"/>
      <c r="U6" s="6" t="n"/>
      <c r="V6" s="6" t="n"/>
      <c r="W6" s="6" t="n"/>
      <c r="X6" s="6" t="n"/>
      <c r="Y6" s="6" t="n"/>
      <c r="Z6" s="6" t="n"/>
    </row>
    <row r="7">
      <c r="A7" s="6" t="n"/>
      <c r="B7" s="40" t="inlineStr">
        <is>
          <t>1 CSP Preparation</t>
        </is>
      </c>
      <c r="C7" s="40" t="n"/>
      <c r="D7" s="40">
        <f>SUMIFS('PR dang xu ly'!$C$2:$C$300,'PR dang xu ly'!$A$2:$A$300,$B7,'PR dang xu ly'!$B$2:$B$300,"Late")</f>
        <v/>
      </c>
      <c r="E7" s="40">
        <f>SUMIFS('PR dang xu ly'!$C$2:$C$300,'PR dang xu ly'!$A$2:$A$300,$B7,'PR dang xu ly'!$B$2:$B$300,"Near-late")</f>
        <v/>
      </c>
      <c r="F7" s="40">
        <f>SUMIFS('PR dang xu ly'!$C$2:$C$300,'PR dang xu ly'!$A$2:$A$300,$B7,'PR dang xu ly'!$B$2:$B$300,"On time")</f>
        <v/>
      </c>
      <c r="G7" s="40">
        <f>SUM(D7:F7)</f>
        <v/>
      </c>
      <c r="H7" s="6" t="n"/>
      <c r="I7" s="6" t="n"/>
      <c r="J7" s="40">
        <f>IF($Y7="","",IF(INDEX('Goi chua co PR'!$B$2:$B$300,$Y7)="","",INDEX('Goi chua co PR'!$B$2:$B$300,$Y7)))</f>
        <v/>
      </c>
      <c r="K7" s="20" t="n"/>
      <c r="L7" s="40">
        <f>IF($Y7="","",IF(INDEX('Goi chua co PR'!$C$2:$C$300,$Y7)="","",INDEX('Goi chua co PR'!$C$2:$C$300,$Y7)))</f>
        <v/>
      </c>
      <c r="M7" s="6" t="n"/>
      <c r="N7" s="25">
        <f>IF(INDEX('CMMS'!$A$2:$A$300,1)="","",INDEX('CMMS'!$A$2:$A$300,1))</f>
        <v/>
      </c>
      <c r="O7" s="29">
        <f>IF(N7="","",INDEX('CMMS'!$B$2:$B$300,1)/100)</f>
        <v/>
      </c>
      <c r="P7" s="29">
        <f>IF(N7="","",INDEX('CMMS'!$C$2:$C$300,1)/100)</f>
        <v/>
      </c>
      <c r="Q7" s="35">
        <f>IF(N7="","",(O7-P7)*100)</f>
        <v/>
      </c>
      <c r="R7" s="6" t="n"/>
      <c r="S7" s="6" t="n"/>
      <c r="T7" s="6" t="n"/>
      <c r="U7" s="6" t="n"/>
      <c r="V7" s="6" t="n"/>
      <c r="W7" s="6" t="n"/>
      <c r="X7" s="6" t="n"/>
      <c r="Y7" s="39">
        <f t="array" ref="Y7">IFERROR(SMALL(IF('Goi chua co PR'!$A$2:$A$300="status",ROW('Goi chua co PR'!$A$2:$A$300)-1),1),"")</f>
        <v/>
      </c>
      <c r="Z7" s="6" t="n"/>
    </row>
    <row r="8">
      <c r="A8" s="6" t="n"/>
      <c r="B8" s="40" t="inlineStr">
        <is>
          <t>2 CSP Approval</t>
        </is>
      </c>
      <c r="C8" s="40" t="n"/>
      <c r="D8" s="40">
        <f>SUMIFS('PR dang xu ly'!$C$2:$C$300,'PR dang xu ly'!$A$2:$A$300,$B8,'PR dang xu ly'!$B$2:$B$300,"Late")</f>
        <v/>
      </c>
      <c r="E8" s="40">
        <f>SUMIFS('PR dang xu ly'!$C$2:$C$300,'PR dang xu ly'!$A$2:$A$300,$B8,'PR dang xu ly'!$B$2:$B$300,"Near-late")</f>
        <v/>
      </c>
      <c r="F8" s="40">
        <f>SUMIFS('PR dang xu ly'!$C$2:$C$300,'PR dang xu ly'!$A$2:$A$300,$B8,'PR dang xu ly'!$B$2:$B$300,"On time")</f>
        <v/>
      </c>
      <c r="G8" s="40">
        <f>SUM(D8:F8)</f>
        <v/>
      </c>
      <c r="H8" s="6" t="n"/>
      <c r="I8" s="6" t="n"/>
      <c r="J8" s="40">
        <f>IF($Y8="","",IF(INDEX('Goi chua co PR'!$B$2:$B$300,$Y8)="","",INDEX('Goi chua co PR'!$B$2:$B$300,$Y8)))</f>
        <v/>
      </c>
      <c r="K8" s="20" t="n"/>
      <c r="L8" s="40">
        <f>IF($Y8="","",IF(INDEX('Goi chua co PR'!$C$2:$C$300,$Y8)="","",INDEX('Goi chua co PR'!$C$2:$C$300,$Y8)))</f>
        <v/>
      </c>
      <c r="M8" s="6" t="n"/>
      <c r="N8" s="25">
        <f>IF(INDEX('CMMS'!$A$2:$A$300,2)="","",INDEX('CMMS'!$A$2:$A$300,2))</f>
        <v/>
      </c>
      <c r="O8" s="29">
        <f>IF(N8="","",INDEX('CMMS'!$B$2:$B$300,2)/100)</f>
        <v/>
      </c>
      <c r="P8" s="29">
        <f>IF(N8="","",INDEX('CMMS'!$C$2:$C$300,2)/100)</f>
        <v/>
      </c>
      <c r="Q8" s="35">
        <f>IF(N8="","",(O8-P8)*100)</f>
        <v/>
      </c>
      <c r="R8" s="6" t="n"/>
      <c r="S8" s="6" t="n"/>
      <c r="T8" s="6" t="n"/>
      <c r="U8" s="6" t="n"/>
      <c r="V8" s="6" t="n"/>
      <c r="W8" s="6" t="n"/>
      <c r="X8" s="6" t="n"/>
      <c r="Y8" s="39">
        <f t="array" ref="Y8">IFERROR(SMALL(IF('Goi chua co PR'!$A$2:$A$300="status",ROW('Goi chua co PR'!$A$2:$A$300)-1),2),"")</f>
        <v/>
      </c>
      <c r="Z8" s="6" t="n"/>
    </row>
    <row r="9">
      <c r="A9" s="6" t="n"/>
      <c r="B9" s="40" t="inlineStr">
        <is>
          <t>3 Bidding</t>
        </is>
      </c>
      <c r="C9" s="40" t="n"/>
      <c r="D9" s="40">
        <f>SUMIFS('PR dang xu ly'!$C$2:$C$300,'PR dang xu ly'!$A$2:$A$300,$B9,'PR dang xu ly'!$B$2:$B$300,"Late")</f>
        <v/>
      </c>
      <c r="E9" s="40">
        <f>SUMIFS('PR dang xu ly'!$C$2:$C$300,'PR dang xu ly'!$A$2:$A$300,$B9,'PR dang xu ly'!$B$2:$B$300,"Near-late")</f>
        <v/>
      </c>
      <c r="F9" s="40">
        <f>SUMIFS('PR dang xu ly'!$C$2:$C$300,'PR dang xu ly'!$A$2:$A$300,$B9,'PR dang xu ly'!$B$2:$B$300,"On time")</f>
        <v/>
      </c>
      <c r="G9" s="40">
        <f>SUM(D9:F9)</f>
        <v/>
      </c>
      <c r="H9" s="6" t="n"/>
      <c r="I9" s="6" t="n"/>
      <c r="J9" s="40">
        <f>IF($Y9="","",IF(INDEX('Goi chua co PR'!$B$2:$B$300,$Y9)="","",INDEX('Goi chua co PR'!$B$2:$B$300,$Y9)))</f>
        <v/>
      </c>
      <c r="K9" s="20" t="n"/>
      <c r="L9" s="40">
        <f>IF($Y9="","",IF(INDEX('Goi chua co PR'!$C$2:$C$300,$Y9)="","",INDEX('Goi chua co PR'!$C$2:$C$300,$Y9)))</f>
        <v/>
      </c>
      <c r="M9" s="6" t="n"/>
      <c r="N9" s="25">
        <f>IF(INDEX('CMMS'!$A$2:$A$300,3)="","",INDEX('CMMS'!$A$2:$A$300,3))</f>
        <v/>
      </c>
      <c r="O9" s="29">
        <f>IF(N9="","",INDEX('CMMS'!$B$2:$B$300,3)/100)</f>
        <v/>
      </c>
      <c r="P9" s="29">
        <f>IF(N9="","",INDEX('CMMS'!$C$2:$C$300,3)/100)</f>
        <v/>
      </c>
      <c r="Q9" s="35">
        <f>IF(N9="","",(O9-P9)*100)</f>
        <v/>
      </c>
      <c r="R9" s="6" t="n"/>
      <c r="S9" s="6" t="n"/>
      <c r="T9" s="6" t="n"/>
      <c r="U9" s="6" t="n"/>
      <c r="V9" s="6" t="n"/>
      <c r="W9" s="6" t="n"/>
      <c r="X9" s="6" t="n"/>
      <c r="Y9" s="39">
        <f t="array" ref="Y9">IFERROR(SMALL(IF('Goi chua co PR'!$A$2:$A$300="status",ROW('Goi chua co PR'!$A$2:$A$300)-1),3),"")</f>
        <v/>
      </c>
      <c r="Z9" s="6" t="n"/>
    </row>
    <row r="10">
      <c r="A10" s="6" t="n"/>
      <c r="B10" s="40" t="inlineStr">
        <is>
          <t>4 Evaluation</t>
        </is>
      </c>
      <c r="C10" s="40" t="n"/>
      <c r="D10" s="40">
        <f>SUMIFS('PR dang xu ly'!$C$2:$C$300,'PR dang xu ly'!$A$2:$A$300,$B10,'PR dang xu ly'!$B$2:$B$300,"Late")</f>
        <v/>
      </c>
      <c r="E10" s="40">
        <f>SUMIFS('PR dang xu ly'!$C$2:$C$300,'PR dang xu ly'!$A$2:$A$300,$B10,'PR dang xu ly'!$B$2:$B$300,"Near-late")</f>
        <v/>
      </c>
      <c r="F10" s="40">
        <f>SUMIFS('PR dang xu ly'!$C$2:$C$300,'PR dang xu ly'!$A$2:$A$300,$B10,'PR dang xu ly'!$B$2:$B$300,"On time")</f>
        <v/>
      </c>
      <c r="G10" s="40">
        <f>SUM(D10:F10)</f>
        <v/>
      </c>
      <c r="H10" s="6" t="n"/>
      <c r="I10" s="6" t="n"/>
      <c r="J10" s="40">
        <f>IF($Y10="","",IF(INDEX('Goi chua co PR'!$B$2:$B$300,$Y10)="","",INDEX('Goi chua co PR'!$B$2:$B$300,$Y10)))</f>
        <v/>
      </c>
      <c r="K10" s="20" t="n"/>
      <c r="L10" s="40">
        <f>IF($Y10="","",IF(INDEX('Goi chua co PR'!$C$2:$C$300,$Y10)="","",INDEX('Goi chua co PR'!$C$2:$C$300,$Y10)))</f>
        <v/>
      </c>
      <c r="M10" s="6" t="n"/>
      <c r="N10" s="25">
        <f>IF(INDEX('CMMS'!$A$2:$A$300,4)="","",INDEX('CMMS'!$A$2:$A$300,4))</f>
        <v/>
      </c>
      <c r="O10" s="29">
        <f>IF(N10="","",INDEX('CMMS'!$B$2:$B$300,4)/100)</f>
        <v/>
      </c>
      <c r="P10" s="29">
        <f>IF(N10="","",INDEX('CMMS'!$C$2:$C$300,4)/100)</f>
        <v/>
      </c>
      <c r="Q10" s="35">
        <f>IF(N10="","",(O10-P10)*100)</f>
        <v/>
      </c>
      <c r="R10" s="6" t="n"/>
      <c r="S10" s="6" t="n"/>
      <c r="T10" s="6" t="n"/>
      <c r="U10" s="6" t="n"/>
      <c r="V10" s="6" t="n"/>
      <c r="W10" s="6" t="n"/>
      <c r="X10" s="6" t="n"/>
      <c r="Y10" s="39">
        <f t="array" ref="Y10">IFERROR(SMALL(IF('Goi chua co PR'!$A$2:$A$300="status",ROW('Goi chua co PR'!$A$2:$A$300)-1),4),"")</f>
        <v/>
      </c>
      <c r="Z10" s="6" t="n"/>
    </row>
    <row r="11">
      <c r="A11" s="6" t="n"/>
      <c r="B11" s="40" t="inlineStr">
        <is>
          <t>5 TCEAR Approval</t>
        </is>
      </c>
      <c r="C11" s="40" t="n"/>
      <c r="D11" s="40">
        <f>SUMIFS('PR dang xu ly'!$C$2:$C$300,'PR dang xu ly'!$A$2:$A$300,$B11,'PR dang xu ly'!$B$2:$B$300,"Late")</f>
        <v/>
      </c>
      <c r="E11" s="40">
        <f>SUMIFS('PR dang xu ly'!$C$2:$C$300,'PR dang xu ly'!$A$2:$A$300,$B11,'PR dang xu ly'!$B$2:$B$300,"Near-late")</f>
        <v/>
      </c>
      <c r="F11" s="40">
        <f>SUMIFS('PR dang xu ly'!$C$2:$C$300,'PR dang xu ly'!$A$2:$A$300,$B11,'PR dang xu ly'!$B$2:$B$300,"On time")</f>
        <v/>
      </c>
      <c r="G11" s="40">
        <f>SUM(D11:F11)</f>
        <v/>
      </c>
      <c r="H11" s="6" t="n"/>
      <c r="I11" s="6" t="n"/>
      <c r="J11" s="40">
        <f>IF($Y11="","",IF(INDEX('Goi chua co PR'!$B$2:$B$300,$Y11)="","",INDEX('Goi chua co PR'!$B$2:$B$300,$Y11)))</f>
        <v/>
      </c>
      <c r="K11" s="20" t="n"/>
      <c r="L11" s="40">
        <f>IF($Y11="","",IF(INDEX('Goi chua co PR'!$C$2:$C$300,$Y11)="","",INDEX('Goi chua co PR'!$C$2:$C$300,$Y11)))</f>
        <v/>
      </c>
      <c r="M11" s="6" t="n"/>
      <c r="N11" s="6" t="n"/>
      <c r="O11" s="6" t="n"/>
      <c r="P11" s="6" t="n"/>
      <c r="Q11" s="6" t="n"/>
      <c r="R11" s="6" t="n"/>
      <c r="S11" s="6" t="n"/>
      <c r="T11" s="6" t="n"/>
      <c r="U11" s="6" t="n"/>
      <c r="V11" s="6" t="n"/>
      <c r="W11" s="6" t="n"/>
      <c r="X11" s="6" t="n"/>
      <c r="Y11" s="39">
        <f t="array" ref="Y11">IFERROR(SMALL(IF('Goi chua co PR'!$A$2:$A$300="status",ROW('Goi chua co PR'!$A$2:$A$300)-1),5),"")</f>
        <v/>
      </c>
      <c r="Z11" s="6" t="n"/>
    </row>
    <row r="12">
      <c r="A12" s="6" t="n"/>
      <c r="B12" s="40" t="inlineStr">
        <is>
          <t>6 Contract Signing</t>
        </is>
      </c>
      <c r="C12" s="40" t="n"/>
      <c r="D12" s="40">
        <f>SUMIFS('PR dang xu ly'!$C$2:$C$300,'PR dang xu ly'!$A$2:$A$300,$B12,'PR dang xu ly'!$B$2:$B$300,"Late")</f>
        <v/>
      </c>
      <c r="E12" s="40">
        <f>SUMIFS('PR dang xu ly'!$C$2:$C$300,'PR dang xu ly'!$A$2:$A$300,$B12,'PR dang xu ly'!$B$2:$B$300,"Near-late")</f>
        <v/>
      </c>
      <c r="F12" s="40">
        <f>SUMIFS('PR dang xu ly'!$C$2:$C$300,'PR dang xu ly'!$A$2:$A$300,$B12,'PR dang xu ly'!$B$2:$B$300,"On time")</f>
        <v/>
      </c>
      <c r="G12" s="40">
        <f>SUM(D12:F12)</f>
        <v/>
      </c>
      <c r="H12" s="6" t="n"/>
      <c r="I12" s="6" t="n"/>
      <c r="J12" s="6" t="n"/>
      <c r="K12" s="6" t="n"/>
      <c r="L12" s="6" t="n"/>
      <c r="M12" s="6" t="n"/>
      <c r="N12" s="6" t="n"/>
      <c r="O12" s="6" t="n"/>
      <c r="P12" s="6" t="n"/>
      <c r="Q12" s="6" t="n"/>
      <c r="R12" s="6" t="n"/>
      <c r="S12" s="6" t="n"/>
      <c r="T12" s="6" t="n"/>
      <c r="U12" s="6" t="n"/>
      <c r="V12" s="6" t="n"/>
      <c r="W12" s="6" t="n"/>
      <c r="X12" s="6" t="n"/>
      <c r="Y12" s="6" t="n"/>
      <c r="Z12" s="6" t="n"/>
    </row>
    <row r="13">
      <c r="A13" s="6" t="n"/>
      <c r="B13" s="6" t="n"/>
      <c r="C13" s="6" t="n"/>
      <c r="D13" s="6" t="n"/>
      <c r="E13" s="6" t="n"/>
      <c r="F13" s="6" t="n"/>
      <c r="G13" s="6" t="n"/>
      <c r="H13" s="6" t="n"/>
      <c r="I13" s="6" t="n"/>
      <c r="J13" s="24" t="inlineStr">
        <is>
          <t>Priority</t>
        </is>
      </c>
      <c r="K13" s="24" t="inlineStr"/>
      <c r="L13" s="24" t="inlineStr">
        <is>
          <t>Packages</t>
        </is>
      </c>
      <c r="M13" s="6" t="n"/>
      <c r="N13" s="6" t="n"/>
      <c r="O13" s="6" t="n"/>
      <c r="P13" s="6" t="n"/>
      <c r="Q13" s="6" t="n"/>
      <c r="R13" s="6" t="n"/>
      <c r="S13" s="6" t="n"/>
      <c r="T13" s="6" t="n"/>
      <c r="U13" s="6" t="n"/>
      <c r="V13" s="6" t="n"/>
      <c r="W13" s="6" t="n"/>
      <c r="X13" s="6" t="n"/>
      <c r="Y13" s="6" t="n"/>
      <c r="Z13" s="6" t="n"/>
    </row>
    <row r="14">
      <c r="A14" s="6" t="n"/>
      <c r="B14" s="6" t="n"/>
      <c r="C14" s="6" t="n"/>
      <c r="D14" s="6" t="n"/>
      <c r="E14" s="6" t="n"/>
      <c r="F14" s="6" t="n"/>
      <c r="G14" s="6" t="n"/>
      <c r="H14" s="6" t="n"/>
      <c r="I14" s="6" t="n"/>
      <c r="J14" s="40">
        <f>IF($Y14="","",IF(INDEX('Goi chua co PR'!$B$2:$B$300,$Y14)="","",INDEX('Goi chua co PR'!$B$2:$B$300,$Y14)))</f>
        <v/>
      </c>
      <c r="K14" s="20" t="n"/>
      <c r="L14" s="40">
        <f>IF($Y14="","",IF(INDEX('Goi chua co PR'!$C$2:$C$300,$Y14)="","",INDEX('Goi chua co PR'!$C$2:$C$300,$Y14)))</f>
        <v/>
      </c>
      <c r="M14" s="6" t="n"/>
      <c r="N14" s="6" t="n"/>
      <c r="O14" s="6" t="n"/>
      <c r="P14" s="6" t="n"/>
      <c r="Q14" s="6" t="n"/>
      <c r="R14" s="6" t="n"/>
      <c r="S14" s="6" t="n"/>
      <c r="T14" s="6" t="n"/>
      <c r="U14" s="6" t="n"/>
      <c r="V14" s="6" t="n"/>
      <c r="W14" s="6" t="n"/>
      <c r="X14" s="6" t="n"/>
      <c r="Y14" s="39">
        <f t="array" ref="Y14">IFERROR(SMALL(IF('Goi chua co PR'!$A$2:$A$300="priority",ROW('Goi chua co PR'!$A$2:$A$300)-1),1),"")</f>
        <v/>
      </c>
      <c r="Z14" s="6" t="n"/>
    </row>
    <row r="15">
      <c r="A15" s="6" t="n"/>
      <c r="B15" s="6" t="n"/>
      <c r="C15" s="6" t="n"/>
      <c r="D15" s="6" t="n"/>
      <c r="E15" s="6" t="n"/>
      <c r="F15" s="6" t="n"/>
      <c r="G15" s="6" t="n"/>
      <c r="H15" s="6" t="n"/>
      <c r="I15" s="6" t="n"/>
      <c r="J15" s="40">
        <f>IF($Y15="","",IF(INDEX('Goi chua co PR'!$B$2:$B$300,$Y15)="","",INDEX('Goi chua co PR'!$B$2:$B$300,$Y15)))</f>
        <v/>
      </c>
      <c r="K15" s="20" t="n"/>
      <c r="L15" s="40">
        <f>IF($Y15="","",IF(INDEX('Goi chua co PR'!$C$2:$C$300,$Y15)="","",INDEX('Goi chua co PR'!$C$2:$C$300,$Y15)))</f>
        <v/>
      </c>
      <c r="M15" s="6" t="n"/>
      <c r="N15" s="6" t="n"/>
      <c r="O15" s="6" t="n"/>
      <c r="P15" s="6" t="n"/>
      <c r="Q15" s="6" t="n"/>
      <c r="R15" s="6" t="n"/>
      <c r="S15" s="6" t="n"/>
      <c r="T15" s="6" t="n"/>
      <c r="U15" s="6" t="n"/>
      <c r="V15" s="6" t="n"/>
      <c r="W15" s="6" t="n"/>
      <c r="X15" s="6" t="n"/>
      <c r="Y15" s="39">
        <f t="array" ref="Y15">IFERROR(SMALL(IF('Goi chua co PR'!$A$2:$A$300="priority",ROW('Goi chua co PR'!$A$2:$A$300)-1),2),"")</f>
        <v/>
      </c>
      <c r="Z15" s="6" t="n"/>
    </row>
    <row r="16">
      <c r="A16" s="6" t="n"/>
      <c r="B16" s="6" t="n"/>
      <c r="C16" s="6" t="n"/>
      <c r="D16" s="6" t="n"/>
      <c r="E16" s="6" t="n"/>
      <c r="F16" s="6" t="n"/>
      <c r="G16" s="6" t="n"/>
      <c r="H16" s="6" t="n"/>
      <c r="I16" s="6" t="n"/>
      <c r="J16" s="40">
        <f>IF($Y16="","",IF(INDEX('Goi chua co PR'!$B$2:$B$300,$Y16)="","",INDEX('Goi chua co PR'!$B$2:$B$300,$Y16)))</f>
        <v/>
      </c>
      <c r="K16" s="20" t="n"/>
      <c r="L16" s="40">
        <f>IF($Y16="","",IF(INDEX('Goi chua co PR'!$C$2:$C$300,$Y16)="","",INDEX('Goi chua co PR'!$C$2:$C$300,$Y16)))</f>
        <v/>
      </c>
      <c r="M16" s="6" t="n"/>
      <c r="N16" s="6" t="n"/>
      <c r="O16" s="6" t="n"/>
      <c r="P16" s="6" t="n"/>
      <c r="Q16" s="6" t="n"/>
      <c r="R16" s="6" t="n"/>
      <c r="S16" s="6" t="n"/>
      <c r="T16" s="6" t="n"/>
      <c r="U16" s="6" t="n"/>
      <c r="V16" s="6" t="n"/>
      <c r="W16" s="6" t="n"/>
      <c r="X16" s="6" t="n"/>
      <c r="Y16" s="39">
        <f t="array" ref="Y16">IFERROR(SMALL(IF('Goi chua co PR'!$A$2:$A$300="priority",ROW('Goi chua co PR'!$A$2:$A$300)-1),3),"")</f>
        <v/>
      </c>
      <c r="Z16" s="6" t="n"/>
    </row>
    <row r="17">
      <c r="A17" s="6" t="n"/>
      <c r="B17" s="6" t="n"/>
      <c r="C17" s="6" t="n"/>
      <c r="D17" s="6" t="n"/>
      <c r="E17" s="6" t="n"/>
      <c r="F17" s="6" t="n"/>
      <c r="G17" s="6" t="n"/>
      <c r="H17" s="6" t="n"/>
      <c r="I17" s="6" t="n"/>
      <c r="J17" s="40">
        <f>IF($Y17="","",IF(INDEX('Goi chua co PR'!$B$2:$B$300,$Y17)="","",INDEX('Goi chua co PR'!$B$2:$B$300,$Y17)))</f>
        <v/>
      </c>
      <c r="K17" s="20" t="n"/>
      <c r="L17" s="40">
        <f>IF($Y17="","",IF(INDEX('Goi chua co PR'!$C$2:$C$300,$Y17)="","",INDEX('Goi chua co PR'!$C$2:$C$300,$Y17)))</f>
        <v/>
      </c>
      <c r="M17" s="6" t="n"/>
      <c r="N17" s="6" t="n"/>
      <c r="O17" s="6" t="n"/>
      <c r="P17" s="6" t="n"/>
      <c r="Q17" s="6" t="n"/>
      <c r="R17" s="6" t="n"/>
      <c r="S17" s="6" t="n"/>
      <c r="T17" s="6" t="n"/>
      <c r="U17" s="6" t="n"/>
      <c r="V17" s="6" t="n"/>
      <c r="W17" s="6" t="n"/>
      <c r="X17" s="6" t="n"/>
      <c r="Y17" s="39">
        <f t="array" ref="Y17">IFERROR(SMALL(IF('Goi chua co PR'!$A$2:$A$300="priority",ROW('Goi chua co PR'!$A$2:$A$300)-1),4),"")</f>
        <v/>
      </c>
      <c r="Z17" s="6" t="n"/>
    </row>
    <row r="18">
      <c r="A18" s="6" t="n"/>
      <c r="B18" s="6" t="n"/>
      <c r="C18" s="6" t="n"/>
      <c r="D18" s="6" t="n"/>
      <c r="E18" s="6" t="n"/>
      <c r="F18" s="6" t="n"/>
      <c r="G18" s="6" t="n"/>
      <c r="H18" s="6" t="n"/>
      <c r="I18" s="6" t="n"/>
      <c r="J18" s="40">
        <f>IF($Y18="","",IF(INDEX('Goi chua co PR'!$B$2:$B$300,$Y18)="","",INDEX('Goi chua co PR'!$B$2:$B$300,$Y18)))</f>
        <v/>
      </c>
      <c r="K18" s="20" t="n"/>
      <c r="L18" s="40">
        <f>IF($Y18="","",IF(INDEX('Goi chua co PR'!$C$2:$C$300,$Y18)="","",INDEX('Goi chua co PR'!$C$2:$C$300,$Y18)))</f>
        <v/>
      </c>
      <c r="M18" s="6" t="n"/>
      <c r="N18" s="6" t="n"/>
      <c r="O18" s="6" t="n"/>
      <c r="P18" s="6" t="n"/>
      <c r="Q18" s="6" t="n"/>
      <c r="R18" s="6" t="n"/>
      <c r="S18" s="6" t="n"/>
      <c r="T18" s="6" t="n"/>
      <c r="U18" s="6" t="n"/>
      <c r="V18" s="6" t="n"/>
      <c r="W18" s="6" t="n"/>
      <c r="X18" s="6" t="n"/>
      <c r="Y18" s="39">
        <f t="array" ref="Y18">IFERROR(SMALL(IF('Goi chua co PR'!$A$2:$A$300="priority",ROW('Goi chua co PR'!$A$2:$A$300)-1),5),"")</f>
        <v/>
      </c>
      <c r="Z18" s="6" t="n"/>
    </row>
    <row r="19">
      <c r="A19" s="6" t="n"/>
      <c r="B19" s="6" t="n"/>
      <c r="C19" s="6" t="n"/>
      <c r="D19" s="6" t="n"/>
      <c r="E19" s="6" t="n"/>
      <c r="F19" s="6" t="n"/>
      <c r="G19" s="6" t="n"/>
      <c r="H19" s="6" t="n"/>
      <c r="I19" s="6" t="n"/>
      <c r="J19" s="6" t="n"/>
      <c r="K19" s="6" t="n"/>
      <c r="L19" s="6" t="n"/>
      <c r="M19" s="6" t="n"/>
      <c r="N19" s="6" t="n"/>
      <c r="O19" s="6" t="n"/>
      <c r="P19" s="6" t="n"/>
      <c r="Q19" s="6" t="n"/>
      <c r="R19" s="6" t="n"/>
      <c r="S19" s="6" t="n"/>
      <c r="T19" s="6" t="n"/>
      <c r="U19" s="6" t="n"/>
      <c r="V19" s="6" t="n"/>
      <c r="W19" s="6" t="n"/>
      <c r="X19" s="6" t="n"/>
      <c r="Y19" s="6" t="n"/>
      <c r="Z19" s="6" t="n"/>
    </row>
    <row r="20">
      <c r="A20" s="6" t="n"/>
      <c r="B20" s="6" t="n"/>
      <c r="C20" s="6" t="n"/>
      <c r="D20" s="6" t="n"/>
      <c r="E20" s="6" t="n"/>
      <c r="F20" s="6" t="n"/>
      <c r="G20" s="6" t="n"/>
      <c r="H20" s="6" t="n"/>
      <c r="I20" s="6" t="n"/>
      <c r="J20" s="24" t="inlineStr">
        <is>
          <t>Expected SCR</t>
        </is>
      </c>
      <c r="K20" s="24" t="inlineStr"/>
      <c r="L20" s="24" t="inlineStr">
        <is>
          <t>Packages</t>
        </is>
      </c>
      <c r="M20" s="6" t="n"/>
      <c r="N20" s="6" t="n"/>
      <c r="O20" s="6" t="n"/>
      <c r="P20" s="6" t="n"/>
      <c r="Q20" s="6" t="n"/>
      <c r="R20" s="6" t="n"/>
      <c r="S20" s="6" t="n"/>
      <c r="T20" s="6" t="n"/>
      <c r="U20" s="6" t="n"/>
      <c r="V20" s="6" t="n"/>
      <c r="W20" s="6" t="n"/>
      <c r="X20" s="6" t="n"/>
      <c r="Y20" s="6" t="n"/>
      <c r="Z20" s="6" t="n"/>
    </row>
    <row r="21">
      <c r="A21" s="6" t="n"/>
      <c r="B21" s="6" t="n"/>
      <c r="C21" s="6" t="n"/>
      <c r="D21" s="6" t="n"/>
      <c r="E21" s="6" t="n"/>
      <c r="F21" s="6" t="n"/>
      <c r="G21" s="6" t="n"/>
      <c r="H21" s="6" t="n"/>
      <c r="I21" s="6" t="n"/>
      <c r="J21" s="40">
        <f>IF($Y21="","",IF(INDEX('Goi chua co PR'!$B$2:$B$300,$Y21)="","",INDEX('Goi chua co PR'!$B$2:$B$300,$Y21)))</f>
        <v/>
      </c>
      <c r="K21" s="20" t="n"/>
      <c r="L21" s="40">
        <f>IF($Y21="","",IF(INDEX('Goi chua co PR'!$C$2:$C$300,$Y21)="","",INDEX('Goi chua co PR'!$C$2:$C$300,$Y21)))</f>
        <v/>
      </c>
      <c r="M21" s="6" t="n"/>
      <c r="N21" s="6" t="n"/>
      <c r="O21" s="6" t="n"/>
      <c r="P21" s="6" t="n"/>
      <c r="Q21" s="6" t="n"/>
      <c r="R21" s="6" t="n"/>
      <c r="S21" s="6" t="n"/>
      <c r="T21" s="6" t="n"/>
      <c r="U21" s="6" t="n"/>
      <c r="V21" s="6" t="n"/>
      <c r="W21" s="6" t="n"/>
      <c r="X21" s="6" t="n"/>
      <c r="Y21" s="39">
        <f t="array" ref="Y21">IFERROR(SMALL(IF('Goi chua co PR'!$A$2:$A$300="scr_timing",ROW('Goi chua co PR'!$A$2:$A$300)-1),1),"")</f>
        <v/>
      </c>
      <c r="Z21" s="6" t="n"/>
    </row>
    <row r="22">
      <c r="A22" s="6" t="n"/>
      <c r="B22" s="6" t="n"/>
      <c r="C22" s="6" t="n"/>
      <c r="D22" s="6" t="n"/>
      <c r="E22" s="6" t="n"/>
      <c r="F22" s="6" t="n"/>
      <c r="G22" s="6" t="n"/>
      <c r="H22" s="6" t="n"/>
      <c r="I22" s="6" t="n"/>
      <c r="J22" s="40">
        <f>IF($Y22="","",IF(INDEX('Goi chua co PR'!$B$2:$B$300,$Y22)="","",INDEX('Goi chua co PR'!$B$2:$B$300,$Y22)))</f>
        <v/>
      </c>
      <c r="K22" s="20" t="n"/>
      <c r="L22" s="40">
        <f>IF($Y22="","",IF(INDEX('Goi chua co PR'!$C$2:$C$300,$Y22)="","",INDEX('Goi chua co PR'!$C$2:$C$300,$Y22)))</f>
        <v/>
      </c>
      <c r="M22" s="6" t="n"/>
      <c r="N22" s="6" t="n"/>
      <c r="O22" s="6" t="n"/>
      <c r="P22" s="6" t="n"/>
      <c r="Q22" s="6" t="n"/>
      <c r="R22" s="6" t="n"/>
      <c r="S22" s="6" t="n"/>
      <c r="T22" s="6" t="n"/>
      <c r="U22" s="6" t="n"/>
      <c r="V22" s="6" t="n"/>
      <c r="W22" s="6" t="n"/>
      <c r="X22" s="6" t="n"/>
      <c r="Y22" s="39">
        <f t="array" ref="Y22">IFERROR(SMALL(IF('Goi chua co PR'!$A$2:$A$300="scr_timing",ROW('Goi chua co PR'!$A$2:$A$300)-1),2),"")</f>
        <v/>
      </c>
      <c r="Z22" s="6" t="n"/>
    </row>
    <row r="23">
      <c r="A23" s="6" t="n"/>
      <c r="B23" s="6" t="n"/>
      <c r="C23" s="6" t="n"/>
      <c r="D23" s="6" t="n"/>
      <c r="E23" s="6" t="n"/>
      <c r="F23" s="6" t="n"/>
      <c r="G23" s="6" t="n"/>
      <c r="H23" s="6" t="n"/>
      <c r="I23" s="6" t="n"/>
      <c r="J23" s="40">
        <f>IF($Y23="","",IF(INDEX('Goi chua co PR'!$B$2:$B$300,$Y23)="","",INDEX('Goi chua co PR'!$B$2:$B$300,$Y23)))</f>
        <v/>
      </c>
      <c r="K23" s="20" t="n"/>
      <c r="L23" s="40">
        <f>IF($Y23="","",IF(INDEX('Goi chua co PR'!$C$2:$C$300,$Y23)="","",INDEX('Goi chua co PR'!$C$2:$C$300,$Y23)))</f>
        <v/>
      </c>
      <c r="M23" s="6" t="n"/>
      <c r="N23" s="6" t="n"/>
      <c r="O23" s="6" t="n"/>
      <c r="P23" s="6" t="n"/>
      <c r="Q23" s="6" t="n"/>
      <c r="R23" s="6" t="n"/>
      <c r="S23" s="6" t="n"/>
      <c r="T23" s="6" t="n"/>
      <c r="U23" s="6" t="n"/>
      <c r="V23" s="6" t="n"/>
      <c r="W23" s="6" t="n"/>
      <c r="X23" s="6" t="n"/>
      <c r="Y23" s="39">
        <f t="array" ref="Y23">IFERROR(SMALL(IF('Goi chua co PR'!$A$2:$A$300="scr_timing",ROW('Goi chua co PR'!$A$2:$A$300)-1),3),"")</f>
        <v/>
      </c>
      <c r="Z23" s="6" t="n"/>
    </row>
    <row r="24">
      <c r="A24" s="6" t="n"/>
      <c r="B24" s="6" t="n"/>
      <c r="C24" s="6" t="n"/>
      <c r="D24" s="6" t="n"/>
      <c r="E24" s="6" t="n"/>
      <c r="F24" s="6" t="n"/>
      <c r="G24" s="6" t="n"/>
      <c r="H24" s="6" t="n"/>
      <c r="I24" s="6" t="n"/>
      <c r="J24" s="40">
        <f>IF($Y24="","",IF(INDEX('Goi chua co PR'!$B$2:$B$300,$Y24)="","",INDEX('Goi chua co PR'!$B$2:$B$300,$Y24)))</f>
        <v/>
      </c>
      <c r="K24" s="20" t="n"/>
      <c r="L24" s="40">
        <f>IF($Y24="","",IF(INDEX('Goi chua co PR'!$C$2:$C$300,$Y24)="","",INDEX('Goi chua co PR'!$C$2:$C$300,$Y24)))</f>
        <v/>
      </c>
      <c r="M24" s="6" t="n"/>
      <c r="N24" s="6" t="n"/>
      <c r="O24" s="6" t="n"/>
      <c r="P24" s="6" t="n"/>
      <c r="Q24" s="6" t="n"/>
      <c r="R24" s="6" t="n"/>
      <c r="S24" s="6" t="n"/>
      <c r="T24" s="6" t="n"/>
      <c r="U24" s="6" t="n"/>
      <c r="V24" s="6" t="n"/>
      <c r="W24" s="6" t="n"/>
      <c r="X24" s="6" t="n"/>
      <c r="Y24" s="39">
        <f t="array" ref="Y24">IFERROR(SMALL(IF('Goi chua co PR'!$A$2:$A$300="scr_timing",ROW('Goi chua co PR'!$A$2:$A$300)-1),4),"")</f>
        <v/>
      </c>
      <c r="Z24" s="6" t="n"/>
    </row>
    <row r="25">
      <c r="A25" s="6" t="n"/>
      <c r="B25" s="6" t="n"/>
      <c r="C25" s="6" t="n"/>
      <c r="D25" s="6" t="n"/>
      <c r="E25" s="6" t="n"/>
      <c r="F25" s="6" t="n"/>
      <c r="G25" s="6" t="n"/>
      <c r="H25" s="6" t="n"/>
      <c r="I25" s="6" t="n"/>
      <c r="J25" s="40">
        <f>IF($Y25="","",IF(INDEX('Goi chua co PR'!$B$2:$B$300,$Y25)="","",INDEX('Goi chua co PR'!$B$2:$B$300,$Y25)))</f>
        <v/>
      </c>
      <c r="K25" s="20" t="n"/>
      <c r="L25" s="40">
        <f>IF($Y25="","",IF(INDEX('Goi chua co PR'!$C$2:$C$300,$Y25)="","",INDEX('Goi chua co PR'!$C$2:$C$300,$Y25)))</f>
        <v/>
      </c>
      <c r="M25" s="6" t="n"/>
      <c r="N25" s="6" t="n"/>
      <c r="O25" s="6" t="n"/>
      <c r="P25" s="6" t="n"/>
      <c r="Q25" s="6" t="n"/>
      <c r="R25" s="6" t="n"/>
      <c r="S25" s="6" t="n"/>
      <c r="T25" s="6" t="n"/>
      <c r="U25" s="6" t="n"/>
      <c r="V25" s="6" t="n"/>
      <c r="W25" s="6" t="n"/>
      <c r="X25" s="6" t="n"/>
      <c r="Y25" s="39">
        <f t="array" ref="Y25">IFERROR(SMALL(IF('Goi chua co PR'!$A$2:$A$300="scr_timing",ROW('Goi chua co PR'!$A$2:$A$300)-1),5),"")</f>
        <v/>
      </c>
      <c r="Z25" s="6" t="n"/>
    </row>
    <row r="26">
      <c r="A26" s="6" t="n"/>
      <c r="B26" s="6" t="n"/>
      <c r="C26" s="6" t="n"/>
      <c r="D26" s="6" t="n"/>
      <c r="E26" s="6" t="n"/>
      <c r="F26" s="6" t="n"/>
      <c r="G26" s="6" t="n"/>
      <c r="H26" s="6" t="n"/>
      <c r="I26" s="6" t="n"/>
      <c r="J26" s="6" t="n"/>
      <c r="K26" s="6" t="n"/>
      <c r="L26" s="6" t="n"/>
      <c r="M26" s="6" t="n"/>
      <c r="N26" s="6" t="n"/>
      <c r="O26" s="6" t="n"/>
      <c r="P26" s="6" t="n"/>
      <c r="Q26" s="6" t="n"/>
      <c r="R26" s="6" t="n"/>
      <c r="S26" s="6" t="n"/>
      <c r="T26" s="6" t="n"/>
      <c r="U26" s="6" t="n"/>
      <c r="V26" s="6" t="n"/>
      <c r="W26" s="6" t="n"/>
      <c r="X26" s="6" t="n"/>
      <c r="Y26" s="6" t="n"/>
      <c r="Z26" s="6" t="n"/>
    </row>
    <row r="27">
      <c r="A27" s="6" t="n"/>
      <c r="B27" s="6" t="n"/>
      <c r="C27" s="6" t="n"/>
      <c r="D27" s="6" t="n"/>
      <c r="E27" s="6" t="n"/>
      <c r="F27" s="6" t="n"/>
      <c r="G27" s="6" t="n"/>
      <c r="H27" s="6" t="n"/>
      <c r="I27" s="6" t="n"/>
      <c r="J27" s="6" t="n"/>
      <c r="K27" s="6" t="n"/>
      <c r="L27" s="6" t="n"/>
      <c r="M27" s="6" t="n"/>
      <c r="N27" s="6" t="n"/>
      <c r="O27" s="6" t="n"/>
      <c r="P27" s="6" t="n"/>
      <c r="Q27" s="6" t="n"/>
      <c r="R27" s="6" t="n"/>
      <c r="S27" s="6" t="n"/>
      <c r="T27" s="6" t="n"/>
      <c r="U27" s="6" t="n"/>
      <c r="V27" s="6" t="n"/>
      <c r="W27" s="6" t="n"/>
      <c r="X27" s="6" t="n"/>
      <c r="Y27" s="6" t="n"/>
      <c r="Z27" s="6" t="n"/>
    </row>
    <row r="28">
      <c r="A28" s="6" t="n"/>
      <c r="B28" s="22" t="inlineStr">
        <is>
          <t>Applications</t>
        </is>
      </c>
      <c r="C28" s="6" t="n"/>
      <c r="D28" s="6" t="n"/>
      <c r="E28" s="6" t="n"/>
      <c r="F28" s="6" t="n"/>
      <c r="G28" s="6" t="n"/>
      <c r="H28" s="6" t="n"/>
      <c r="I28" s="6" t="n"/>
      <c r="J28" s="6" t="n"/>
      <c r="K28" s="22" t="inlineStr">
        <is>
          <t>Logistics, services &amp; coordination</t>
        </is>
      </c>
      <c r="L28" s="6" t="n"/>
      <c r="M28" s="6" t="n"/>
      <c r="N28" s="6" t="n"/>
      <c r="O28" s="6" t="n"/>
      <c r="P28" s="6" t="n"/>
      <c r="Q28" s="6" t="n"/>
      <c r="R28" s="6" t="n"/>
      <c r="S28" s="6" t="n"/>
      <c r="T28" s="6" t="n"/>
      <c r="U28" s="6" t="n"/>
      <c r="V28" s="6" t="n"/>
      <c r="W28" s="6" t="n"/>
      <c r="X28" s="6" t="n"/>
      <c r="Y28" s="6" t="n"/>
      <c r="Z28" s="6" t="n"/>
    </row>
    <row r="29">
      <c r="A29" s="6" t="n"/>
      <c r="B29" s="6" t="n"/>
      <c r="C29" s="6" t="n"/>
      <c r="D29" s="6" t="n"/>
      <c r="E29" s="6" t="n"/>
      <c r="F29" s="6" t="n"/>
      <c r="G29" s="6" t="n"/>
      <c r="H29" s="6" t="n"/>
      <c r="I29" s="6" t="n"/>
      <c r="J29" s="6" t="n"/>
      <c r="K29" s="6" t="n"/>
      <c r="L29" s="6" t="n"/>
      <c r="M29" s="6" t="n"/>
      <c r="N29" s="6" t="n"/>
      <c r="O29" s="6" t="n"/>
      <c r="P29" s="6" t="n"/>
      <c r="Q29" s="6" t="n"/>
      <c r="R29" s="6" t="n"/>
      <c r="S29" s="6" t="n"/>
      <c r="T29" s="6" t="n"/>
      <c r="U29" s="6" t="n"/>
      <c r="V29" s="6" t="n"/>
      <c r="W29" s="6" t="n"/>
      <c r="X29" s="6" t="n"/>
      <c r="Y29" s="6" t="n"/>
      <c r="Z29" s="6" t="n"/>
    </row>
    <row r="30">
      <c r="A30" s="6" t="n"/>
      <c r="B30" s="24" t="inlineStr">
        <is>
          <t>Item</t>
        </is>
      </c>
      <c r="C30" s="24" t="inlineStr"/>
      <c r="D30" s="24" t="inlineStr">
        <is>
          <t>Status</t>
        </is>
      </c>
      <c r="E30" s="24" t="inlineStr"/>
      <c r="F30" s="24" t="inlineStr"/>
      <c r="G30" s="24" t="inlineStr"/>
      <c r="H30" s="24" t="inlineStr"/>
      <c r="I30" s="24" t="inlineStr"/>
      <c r="J30" s="6" t="n"/>
      <c r="K30" s="24" t="inlineStr">
        <is>
          <t>Item</t>
        </is>
      </c>
      <c r="L30" s="24" t="inlineStr"/>
      <c r="M30" s="24" t="inlineStr">
        <is>
          <t>Status</t>
        </is>
      </c>
      <c r="N30" s="24" t="inlineStr"/>
      <c r="O30" s="24" t="inlineStr"/>
      <c r="P30" s="24" t="inlineStr"/>
      <c r="Q30" s="24" t="inlineStr"/>
      <c r="R30" s="24" t="inlineStr"/>
      <c r="S30" s="6" t="n"/>
      <c r="T30" s="6" t="n"/>
      <c r="U30" s="6" t="n"/>
      <c r="V30" s="6" t="n"/>
      <c r="W30" s="6" t="n"/>
      <c r="X30" s="6" t="n"/>
      <c r="Y30" s="6" t="n"/>
      <c r="Z30" s="6" t="n"/>
    </row>
    <row r="31" ht="30" customHeight="1">
      <c r="A31" s="6" t="n"/>
      <c r="B31" s="41">
        <f>IF($Z31="","",IF(INDEX('Trang thai cong viec'!$B$2:$B$300,$Z31)="","",INDEX('Trang thai cong viec'!$B$2:$B$300,$Z31)))</f>
        <v/>
      </c>
      <c r="C31" s="20" t="n"/>
      <c r="D31" s="36">
        <f>IF($Z31="","",IF(INDEX('Trang thai cong viec'!$C$2:$C$300,$Z31)="","",INDEX('Trang thai cong viec'!$C$2:$C$300,$Z31)))</f>
        <v/>
      </c>
      <c r="E31" s="20" t="n"/>
      <c r="F31" s="20" t="n"/>
      <c r="G31" s="20" t="n"/>
      <c r="H31" s="20" t="n"/>
      <c r="I31" s="20" t="n"/>
      <c r="J31" s="6" t="n"/>
      <c r="K31" s="41">
        <f>IF($X31="","",IF(INDEX('Trang thai cong viec'!$B$2:$B$300,$X31)="","",INDEX('Trang thai cong viec'!$B$2:$B$300,$X31)))</f>
        <v/>
      </c>
      <c r="L31" s="20" t="n"/>
      <c r="M31" s="36">
        <f>IF($X31="","",IF(INDEX('Trang thai cong viec'!$C$2:$C$300,$X31)="","",INDEX('Trang thai cong viec'!$C$2:$C$300,$X31)))</f>
        <v/>
      </c>
      <c r="N31" s="20" t="n"/>
      <c r="O31" s="20" t="n"/>
      <c r="P31" s="20" t="n"/>
      <c r="Q31" s="20" t="n"/>
      <c r="R31" s="20" t="n"/>
      <c r="S31" s="6" t="n"/>
      <c r="T31" s="6" t="n"/>
      <c r="U31" s="6" t="n"/>
      <c r="V31" s="6" t="n"/>
      <c r="W31" s="6" t="n"/>
      <c r="X31" s="39">
        <f t="array" ref="X31">IFERROR(SMALL(IF((('Trang thai cong viec'!$A$2:$A$300="Logistics &amp; services")+('Trang thai cong viec'!$A$2:$A$300="Coordination"))&gt;0,ROW('Trang thai cong viec'!$A$2:$A$300)-1),1),"")</f>
        <v/>
      </c>
      <c r="Y31" s="6" t="n"/>
      <c r="Z31" s="39">
        <f t="array" ref="Z31">IFERROR(SMALL(IF((('Trang thai cong viec'!$A$2:$A$300="Applications"))&gt;0,ROW('Trang thai cong viec'!$A$2:$A$300)-1),1),"")</f>
        <v/>
      </c>
    </row>
    <row r="32" ht="30" customHeight="1">
      <c r="A32" s="6" t="n"/>
      <c r="B32" s="41">
        <f>IF($Z32="","",IF(INDEX('Trang thai cong viec'!$B$2:$B$300,$Z32)="","",INDEX('Trang thai cong viec'!$B$2:$B$300,$Z32)))</f>
        <v/>
      </c>
      <c r="C32" s="20" t="n"/>
      <c r="D32" s="36">
        <f>IF($Z32="","",IF(INDEX('Trang thai cong viec'!$C$2:$C$300,$Z32)="","",INDEX('Trang thai cong viec'!$C$2:$C$300,$Z32)))</f>
        <v/>
      </c>
      <c r="E32" s="20" t="n"/>
      <c r="F32" s="20" t="n"/>
      <c r="G32" s="20" t="n"/>
      <c r="H32" s="20" t="n"/>
      <c r="I32" s="20" t="n"/>
      <c r="J32" s="6" t="n"/>
      <c r="K32" s="41">
        <f>IF($X32="","",IF(INDEX('Trang thai cong viec'!$B$2:$B$300,$X32)="","",INDEX('Trang thai cong viec'!$B$2:$B$300,$X32)))</f>
        <v/>
      </c>
      <c r="L32" s="20" t="n"/>
      <c r="M32" s="36">
        <f>IF($X32="","",IF(INDEX('Trang thai cong viec'!$C$2:$C$300,$X32)="","",INDEX('Trang thai cong viec'!$C$2:$C$300,$X32)))</f>
        <v/>
      </c>
      <c r="N32" s="20" t="n"/>
      <c r="O32" s="20" t="n"/>
      <c r="P32" s="20" t="n"/>
      <c r="Q32" s="20" t="n"/>
      <c r="R32" s="20" t="n"/>
      <c r="S32" s="6" t="n"/>
      <c r="T32" s="6" t="n"/>
      <c r="U32" s="6" t="n"/>
      <c r="V32" s="6" t="n"/>
      <c r="W32" s="6" t="n"/>
      <c r="X32" s="39">
        <f t="array" ref="X32">IFERROR(SMALL(IF((('Trang thai cong viec'!$A$2:$A$300="Logistics &amp; services")+('Trang thai cong viec'!$A$2:$A$300="Coordination"))&gt;0,ROW('Trang thai cong viec'!$A$2:$A$300)-1),2),"")</f>
        <v/>
      </c>
      <c r="Y32" s="6" t="n"/>
      <c r="Z32" s="39">
        <f t="array" ref="Z32">IFERROR(SMALL(IF((('Trang thai cong viec'!$A$2:$A$300="Applications"))&gt;0,ROW('Trang thai cong viec'!$A$2:$A$300)-1),2),"")</f>
        <v/>
      </c>
    </row>
    <row r="33" ht="30" customHeight="1">
      <c r="A33" s="6" t="n"/>
      <c r="B33" s="41">
        <f>IF($Z33="","",IF(INDEX('Trang thai cong viec'!$B$2:$B$300,$Z33)="","",INDEX('Trang thai cong viec'!$B$2:$B$300,$Z33)))</f>
        <v/>
      </c>
      <c r="C33" s="20" t="n"/>
      <c r="D33" s="36">
        <f>IF($Z33="","",IF(INDEX('Trang thai cong viec'!$C$2:$C$300,$Z33)="","",INDEX('Trang thai cong viec'!$C$2:$C$300,$Z33)))</f>
        <v/>
      </c>
      <c r="E33" s="20" t="n"/>
      <c r="F33" s="20" t="n"/>
      <c r="G33" s="20" t="n"/>
      <c r="H33" s="20" t="n"/>
      <c r="I33" s="20" t="n"/>
      <c r="J33" s="6" t="n"/>
      <c r="K33" s="41">
        <f>IF($X33="","",IF(INDEX('Trang thai cong viec'!$B$2:$B$300,$X33)="","",INDEX('Trang thai cong viec'!$B$2:$B$300,$X33)))</f>
        <v/>
      </c>
      <c r="L33" s="20" t="n"/>
      <c r="M33" s="36">
        <f>IF($X33="","",IF(INDEX('Trang thai cong viec'!$C$2:$C$300,$X33)="","",INDEX('Trang thai cong viec'!$C$2:$C$300,$X33)))</f>
        <v/>
      </c>
      <c r="N33" s="20" t="n"/>
      <c r="O33" s="20" t="n"/>
      <c r="P33" s="20" t="n"/>
      <c r="Q33" s="20" t="n"/>
      <c r="R33" s="20" t="n"/>
      <c r="S33" s="6" t="n"/>
      <c r="T33" s="6" t="n"/>
      <c r="U33" s="6" t="n"/>
      <c r="V33" s="6" t="n"/>
      <c r="W33" s="6" t="n"/>
      <c r="X33" s="39">
        <f t="array" ref="X33">IFERROR(SMALL(IF((('Trang thai cong viec'!$A$2:$A$300="Logistics &amp; services")+('Trang thai cong viec'!$A$2:$A$300="Coordination"))&gt;0,ROW('Trang thai cong viec'!$A$2:$A$300)-1),3),"")</f>
        <v/>
      </c>
      <c r="Y33" s="6" t="n"/>
      <c r="Z33" s="39">
        <f t="array" ref="Z33">IFERROR(SMALL(IF((('Trang thai cong viec'!$A$2:$A$300="Applications"))&gt;0,ROW('Trang thai cong viec'!$A$2:$A$300)-1),3),"")</f>
        <v/>
      </c>
    </row>
    <row r="34" ht="30" customHeight="1">
      <c r="A34" s="6" t="n"/>
      <c r="B34" s="41">
        <f>IF($Z34="","",IF(INDEX('Trang thai cong viec'!$B$2:$B$300,$Z34)="","",INDEX('Trang thai cong viec'!$B$2:$B$300,$Z34)))</f>
        <v/>
      </c>
      <c r="C34" s="20" t="n"/>
      <c r="D34" s="36">
        <f>IF($Z34="","",IF(INDEX('Trang thai cong viec'!$C$2:$C$300,$Z34)="","",INDEX('Trang thai cong viec'!$C$2:$C$300,$Z34)))</f>
        <v/>
      </c>
      <c r="E34" s="20" t="n"/>
      <c r="F34" s="20" t="n"/>
      <c r="G34" s="20" t="n"/>
      <c r="H34" s="20" t="n"/>
      <c r="I34" s="20" t="n"/>
      <c r="J34" s="6" t="n"/>
      <c r="K34" s="41">
        <f>IF($X34="","",IF(INDEX('Trang thai cong viec'!$B$2:$B$300,$X34)="","",INDEX('Trang thai cong viec'!$B$2:$B$300,$X34)))</f>
        <v/>
      </c>
      <c r="L34" s="20" t="n"/>
      <c r="M34" s="36">
        <f>IF($X34="","",IF(INDEX('Trang thai cong viec'!$C$2:$C$300,$X34)="","",INDEX('Trang thai cong viec'!$C$2:$C$300,$X34)))</f>
        <v/>
      </c>
      <c r="N34" s="20" t="n"/>
      <c r="O34" s="20" t="n"/>
      <c r="P34" s="20" t="n"/>
      <c r="Q34" s="20" t="n"/>
      <c r="R34" s="20" t="n"/>
      <c r="S34" s="6" t="n"/>
      <c r="T34" s="6" t="n"/>
      <c r="U34" s="6" t="n"/>
      <c r="V34" s="6" t="n"/>
      <c r="W34" s="6" t="n"/>
      <c r="X34" s="39">
        <f t="array" ref="X34">IFERROR(SMALL(IF((('Trang thai cong viec'!$A$2:$A$300="Logistics &amp; services")+('Trang thai cong viec'!$A$2:$A$300="Coordination"))&gt;0,ROW('Trang thai cong viec'!$A$2:$A$300)-1),4),"")</f>
        <v/>
      </c>
      <c r="Y34" s="6" t="n"/>
      <c r="Z34" s="39">
        <f t="array" ref="Z34">IFERROR(SMALL(IF((('Trang thai cong viec'!$A$2:$A$300="Applications"))&gt;0,ROW('Trang thai cong viec'!$A$2:$A$300)-1),4),"")</f>
        <v/>
      </c>
    </row>
    <row r="35" ht="30" customHeight="1">
      <c r="A35" s="6" t="n"/>
      <c r="B35" s="41">
        <f>IF($Z35="","",IF(INDEX('Trang thai cong viec'!$B$2:$B$300,$Z35)="","",INDEX('Trang thai cong viec'!$B$2:$B$300,$Z35)))</f>
        <v/>
      </c>
      <c r="C35" s="20" t="n"/>
      <c r="D35" s="36">
        <f>IF($Z35="","",IF(INDEX('Trang thai cong viec'!$C$2:$C$300,$Z35)="","",INDEX('Trang thai cong viec'!$C$2:$C$300,$Z35)))</f>
        <v/>
      </c>
      <c r="E35" s="20" t="n"/>
      <c r="F35" s="20" t="n"/>
      <c r="G35" s="20" t="n"/>
      <c r="H35" s="20" t="n"/>
      <c r="I35" s="20" t="n"/>
      <c r="J35" s="6" t="n"/>
      <c r="K35" s="41">
        <f>IF($X35="","",IF(INDEX('Trang thai cong viec'!$B$2:$B$300,$X35)="","",INDEX('Trang thai cong viec'!$B$2:$B$300,$X35)))</f>
        <v/>
      </c>
      <c r="L35" s="20" t="n"/>
      <c r="M35" s="36">
        <f>IF($X35="","",IF(INDEX('Trang thai cong viec'!$C$2:$C$300,$X35)="","",INDEX('Trang thai cong viec'!$C$2:$C$300,$X35)))</f>
        <v/>
      </c>
      <c r="N35" s="20" t="n"/>
      <c r="O35" s="20" t="n"/>
      <c r="P35" s="20" t="n"/>
      <c r="Q35" s="20" t="n"/>
      <c r="R35" s="20" t="n"/>
      <c r="S35" s="6" t="n"/>
      <c r="T35" s="6" t="n"/>
      <c r="U35" s="6" t="n"/>
      <c r="V35" s="6" t="n"/>
      <c r="W35" s="6" t="n"/>
      <c r="X35" s="39">
        <f t="array" ref="X35">IFERROR(SMALL(IF((('Trang thai cong viec'!$A$2:$A$300="Logistics &amp; services")+('Trang thai cong viec'!$A$2:$A$300="Coordination"))&gt;0,ROW('Trang thai cong viec'!$A$2:$A$300)-1),5),"")</f>
        <v/>
      </c>
      <c r="Y35" s="6" t="n"/>
      <c r="Z35" s="39">
        <f t="array" ref="Z35">IFERROR(SMALL(IF((('Trang thai cong viec'!$A$2:$A$300="Applications"))&gt;0,ROW('Trang thai cong viec'!$A$2:$A$300)-1),5),"")</f>
        <v/>
      </c>
    </row>
    <row r="36" ht="30" customHeight="1">
      <c r="A36" s="6" t="n"/>
      <c r="B36" s="41">
        <f>IF($Z36="","",IF(INDEX('Trang thai cong viec'!$B$2:$B$300,$Z36)="","",INDEX('Trang thai cong viec'!$B$2:$B$300,$Z36)))</f>
        <v/>
      </c>
      <c r="C36" s="20" t="n"/>
      <c r="D36" s="36">
        <f>IF($Z36="","",IF(INDEX('Trang thai cong viec'!$C$2:$C$300,$Z36)="","",INDEX('Trang thai cong viec'!$C$2:$C$300,$Z36)))</f>
        <v/>
      </c>
      <c r="E36" s="20" t="n"/>
      <c r="F36" s="20" t="n"/>
      <c r="G36" s="20" t="n"/>
      <c r="H36" s="20" t="n"/>
      <c r="I36" s="20" t="n"/>
      <c r="J36" s="6" t="n"/>
      <c r="K36" s="41">
        <f>IF($X36="","",IF(INDEX('Trang thai cong viec'!$B$2:$B$300,$X36)="","",INDEX('Trang thai cong viec'!$B$2:$B$300,$X36)))</f>
        <v/>
      </c>
      <c r="L36" s="20" t="n"/>
      <c r="M36" s="36">
        <f>IF($X36="","",IF(INDEX('Trang thai cong viec'!$C$2:$C$300,$X36)="","",INDEX('Trang thai cong viec'!$C$2:$C$300,$X36)))</f>
        <v/>
      </c>
      <c r="N36" s="20" t="n"/>
      <c r="O36" s="20" t="n"/>
      <c r="P36" s="20" t="n"/>
      <c r="Q36" s="20" t="n"/>
      <c r="R36" s="20" t="n"/>
      <c r="S36" s="6" t="n"/>
      <c r="T36" s="6" t="n"/>
      <c r="U36" s="6" t="n"/>
      <c r="V36" s="6" t="n"/>
      <c r="W36" s="6" t="n"/>
      <c r="X36" s="39">
        <f t="array" ref="X36">IFERROR(SMALL(IF((('Trang thai cong viec'!$A$2:$A$300="Logistics &amp; services")+('Trang thai cong viec'!$A$2:$A$300="Coordination"))&gt;0,ROW('Trang thai cong viec'!$A$2:$A$300)-1),6),"")</f>
        <v/>
      </c>
      <c r="Y36" s="6" t="n"/>
      <c r="Z36" s="39">
        <f t="array" ref="Z36">IFERROR(SMALL(IF((('Trang thai cong viec'!$A$2:$A$300="Applications"))&gt;0,ROW('Trang thai cong viec'!$A$2:$A$300)-1),6),"")</f>
        <v/>
      </c>
    </row>
    <row r="37" ht="30" customHeight="1">
      <c r="A37" s="6" t="n"/>
      <c r="B37" s="41">
        <f>IF($Z37="","",IF(INDEX('Trang thai cong viec'!$B$2:$B$300,$Z37)="","",INDEX('Trang thai cong viec'!$B$2:$B$300,$Z37)))</f>
        <v/>
      </c>
      <c r="C37" s="20" t="n"/>
      <c r="D37" s="36">
        <f>IF($Z37="","",IF(INDEX('Trang thai cong viec'!$C$2:$C$300,$Z37)="","",INDEX('Trang thai cong viec'!$C$2:$C$300,$Z37)))</f>
        <v/>
      </c>
      <c r="E37" s="20" t="n"/>
      <c r="F37" s="20" t="n"/>
      <c r="G37" s="20" t="n"/>
      <c r="H37" s="20" t="n"/>
      <c r="I37" s="20" t="n"/>
      <c r="J37" s="6" t="n"/>
      <c r="K37" s="41">
        <f>IF($X37="","",IF(INDEX('Trang thai cong viec'!$B$2:$B$300,$X37)="","",INDEX('Trang thai cong viec'!$B$2:$B$300,$X37)))</f>
        <v/>
      </c>
      <c r="L37" s="20" t="n"/>
      <c r="M37" s="36">
        <f>IF($X37="","",IF(INDEX('Trang thai cong viec'!$C$2:$C$300,$X37)="","",INDEX('Trang thai cong viec'!$C$2:$C$300,$X37)))</f>
        <v/>
      </c>
      <c r="N37" s="20" t="n"/>
      <c r="O37" s="20" t="n"/>
      <c r="P37" s="20" t="n"/>
      <c r="Q37" s="20" t="n"/>
      <c r="R37" s="20" t="n"/>
      <c r="S37" s="6" t="n"/>
      <c r="T37" s="6" t="n"/>
      <c r="U37" s="6" t="n"/>
      <c r="V37" s="6" t="n"/>
      <c r="W37" s="6" t="n"/>
      <c r="X37" s="39">
        <f t="array" ref="X37">IFERROR(SMALL(IF((('Trang thai cong viec'!$A$2:$A$300="Logistics &amp; services")+('Trang thai cong viec'!$A$2:$A$300="Coordination"))&gt;0,ROW('Trang thai cong viec'!$A$2:$A$300)-1),7),"")</f>
        <v/>
      </c>
      <c r="Y37" s="6" t="n"/>
      <c r="Z37" s="39">
        <f t="array" ref="Z37">IFERROR(SMALL(IF((('Trang thai cong viec'!$A$2:$A$300="Applications"))&gt;0,ROW('Trang thai cong viec'!$A$2:$A$300)-1),7),"")</f>
        <v/>
      </c>
    </row>
    <row r="38" ht="30" customHeight="1">
      <c r="A38" s="6" t="n"/>
      <c r="B38" s="41">
        <f>IF($Z38="","",IF(INDEX('Trang thai cong viec'!$B$2:$B$300,$Z38)="","",INDEX('Trang thai cong viec'!$B$2:$B$300,$Z38)))</f>
        <v/>
      </c>
      <c r="C38" s="20" t="n"/>
      <c r="D38" s="36">
        <f>IF($Z38="","",IF(INDEX('Trang thai cong viec'!$C$2:$C$300,$Z38)="","",INDEX('Trang thai cong viec'!$C$2:$C$300,$Z38)))</f>
        <v/>
      </c>
      <c r="E38" s="20" t="n"/>
      <c r="F38" s="20" t="n"/>
      <c r="G38" s="20" t="n"/>
      <c r="H38" s="20" t="n"/>
      <c r="I38" s="20" t="n"/>
      <c r="J38" s="6" t="n"/>
      <c r="K38" s="41">
        <f>IF($X38="","",IF(INDEX('Trang thai cong viec'!$B$2:$B$300,$X38)="","",INDEX('Trang thai cong viec'!$B$2:$B$300,$X38)))</f>
        <v/>
      </c>
      <c r="L38" s="20" t="n"/>
      <c r="M38" s="36">
        <f>IF($X38="","",IF(INDEX('Trang thai cong viec'!$C$2:$C$300,$X38)="","",INDEX('Trang thai cong viec'!$C$2:$C$300,$X38)))</f>
        <v/>
      </c>
      <c r="N38" s="20" t="n"/>
      <c r="O38" s="20" t="n"/>
      <c r="P38" s="20" t="n"/>
      <c r="Q38" s="20" t="n"/>
      <c r="R38" s="20" t="n"/>
      <c r="S38" s="6" t="n"/>
      <c r="T38" s="6" t="n"/>
      <c r="U38" s="6" t="n"/>
      <c r="V38" s="6" t="n"/>
      <c r="W38" s="6" t="n"/>
      <c r="X38" s="39">
        <f t="array" ref="X38">IFERROR(SMALL(IF((('Trang thai cong viec'!$A$2:$A$300="Logistics &amp; services")+('Trang thai cong viec'!$A$2:$A$300="Coordination"))&gt;0,ROW('Trang thai cong viec'!$A$2:$A$300)-1),8),"")</f>
        <v/>
      </c>
      <c r="Y38" s="6" t="n"/>
      <c r="Z38" s="39">
        <f t="array" ref="Z38">IFERROR(SMALL(IF((('Trang thai cong viec'!$A$2:$A$300="Applications"))&gt;0,ROW('Trang thai cong viec'!$A$2:$A$300)-1),8),"")</f>
        <v/>
      </c>
    </row>
    <row r="39" ht="30" customHeight="1">
      <c r="A39" s="6" t="n"/>
      <c r="B39" s="6" t="n"/>
      <c r="C39" s="6" t="n"/>
      <c r="D39" s="6" t="n"/>
      <c r="E39" s="6" t="n"/>
      <c r="F39" s="6" t="n"/>
      <c r="G39" s="6" t="n"/>
      <c r="H39" s="6" t="n"/>
      <c r="I39" s="6" t="n"/>
      <c r="J39" s="6" t="n"/>
      <c r="K39" s="41">
        <f>IF($X39="","",IF(INDEX('Trang thai cong viec'!$B$2:$B$300,$X39)="","",INDEX('Trang thai cong viec'!$B$2:$B$300,$X39)))</f>
        <v/>
      </c>
      <c r="L39" s="20" t="n"/>
      <c r="M39" s="36">
        <f>IF($X39="","",IF(INDEX('Trang thai cong viec'!$C$2:$C$300,$X39)="","",INDEX('Trang thai cong viec'!$C$2:$C$300,$X39)))</f>
        <v/>
      </c>
      <c r="N39" s="20" t="n"/>
      <c r="O39" s="20" t="n"/>
      <c r="P39" s="20" t="n"/>
      <c r="Q39" s="20" t="n"/>
      <c r="R39" s="20" t="n"/>
      <c r="S39" s="6" t="n"/>
      <c r="T39" s="6" t="n"/>
      <c r="U39" s="6" t="n"/>
      <c r="V39" s="6" t="n"/>
      <c r="W39" s="6" t="n"/>
      <c r="X39" s="39">
        <f t="array" ref="X39">IFERROR(SMALL(IF((('Trang thai cong viec'!$A$2:$A$300="Logistics &amp; services")+('Trang thai cong viec'!$A$2:$A$300="Coordination"))&gt;0,ROW('Trang thai cong viec'!$A$2:$A$300)-1),9),"")</f>
        <v/>
      </c>
      <c r="Y39" s="6" t="n"/>
      <c r="Z39" s="6" t="n"/>
    </row>
    <row r="40" ht="30" customHeight="1">
      <c r="A40" s="6" t="n"/>
      <c r="B40" s="6" t="n"/>
      <c r="C40" s="6" t="n"/>
      <c r="D40" s="6" t="n"/>
      <c r="E40" s="6" t="n"/>
      <c r="F40" s="6" t="n"/>
      <c r="G40" s="6" t="n"/>
      <c r="H40" s="6" t="n"/>
      <c r="I40" s="6" t="n"/>
      <c r="J40" s="6" t="n"/>
      <c r="K40" s="41">
        <f>IF($X40="","",IF(INDEX('Trang thai cong viec'!$B$2:$B$300,$X40)="","",INDEX('Trang thai cong viec'!$B$2:$B$300,$X40)))</f>
        <v/>
      </c>
      <c r="L40" s="20" t="n"/>
      <c r="M40" s="36">
        <f>IF($X40="","",IF(INDEX('Trang thai cong viec'!$C$2:$C$300,$X40)="","",INDEX('Trang thai cong viec'!$C$2:$C$300,$X40)))</f>
        <v/>
      </c>
      <c r="N40" s="20" t="n"/>
      <c r="O40" s="20" t="n"/>
      <c r="P40" s="20" t="n"/>
      <c r="Q40" s="20" t="n"/>
      <c r="R40" s="20" t="n"/>
      <c r="S40" s="6" t="n"/>
      <c r="T40" s="6" t="n"/>
      <c r="U40" s="6" t="n"/>
      <c r="V40" s="6" t="n"/>
      <c r="W40" s="6" t="n"/>
      <c r="X40" s="39">
        <f t="array" ref="X40">IFERROR(SMALL(IF((('Trang thai cong viec'!$A$2:$A$300="Logistics &amp; services")+('Trang thai cong viec'!$A$2:$A$300="Coordination"))&gt;0,ROW('Trang thai cong viec'!$A$2:$A$300)-1),10),"")</f>
        <v/>
      </c>
      <c r="Y40" s="6" t="n"/>
      <c r="Z40" s="6" t="n"/>
    </row>
    <row r="41">
      <c r="A41" s="6" t="n"/>
      <c r="B41" s="6" t="n"/>
      <c r="C41" s="6" t="n"/>
      <c r="D41" s="6" t="n"/>
      <c r="E41" s="6" t="n"/>
      <c r="F41" s="6" t="n"/>
      <c r="G41" s="6" t="n"/>
      <c r="H41" s="6" t="n"/>
      <c r="I41" s="6" t="n"/>
      <c r="J41" s="6" t="n"/>
      <c r="K41" s="6" t="n"/>
      <c r="L41" s="6" t="n"/>
      <c r="M41" s="6" t="n"/>
      <c r="N41" s="6" t="n"/>
      <c r="O41" s="6" t="n"/>
      <c r="P41" s="6" t="n"/>
      <c r="Q41" s="6" t="n"/>
      <c r="R41" s="6" t="n"/>
      <c r="S41" s="6" t="n"/>
      <c r="T41" s="6" t="n"/>
      <c r="U41" s="6" t="n"/>
      <c r="V41" s="6" t="n"/>
      <c r="W41" s="6" t="n"/>
      <c r="X41" s="6" t="n"/>
      <c r="Y41" s="6" t="n"/>
      <c r="Z41" s="6" t="n"/>
    </row>
    <row r="42">
      <c r="A42" s="6" t="n"/>
      <c r="B42" s="22" t="inlineStr">
        <is>
          <t>Offshore platform permit register</t>
        </is>
      </c>
      <c r="C42" s="6" t="n"/>
      <c r="D42" s="6" t="n"/>
      <c r="E42" s="6" t="n"/>
      <c r="F42" s="6" t="n"/>
      <c r="G42" s="6" t="n"/>
      <c r="H42" s="6" t="n"/>
      <c r="I42" s="6" t="n"/>
      <c r="J42" s="6" t="n"/>
      <c r="K42" s="6" t="n"/>
      <c r="L42" s="6" t="n"/>
      <c r="M42" s="6" t="n"/>
      <c r="N42" s="6" t="n"/>
      <c r="O42" s="6" t="n"/>
      <c r="P42" s="6" t="n"/>
      <c r="Q42" s="6" t="n"/>
      <c r="R42" s="6" t="n"/>
      <c r="S42" s="6" t="n"/>
      <c r="T42" s="6" t="n"/>
      <c r="U42" s="6" t="n"/>
      <c r="V42" s="6" t="n"/>
      <c r="W42" s="6" t="n"/>
      <c r="X42" s="6" t="n"/>
      <c r="Y42" s="6" t="n"/>
      <c r="Z42" s="6" t="n"/>
    </row>
    <row r="43">
      <c r="A43" s="6" t="n"/>
      <c r="B43" s="23" t="inlineStr">
        <is>
          <t>Red: waiting · amber: temporary · green: issued.</t>
        </is>
      </c>
      <c r="C43" s="6" t="n"/>
      <c r="D43" s="6" t="n"/>
      <c r="E43" s="6" t="n"/>
      <c r="F43" s="6" t="n"/>
      <c r="G43" s="6" t="n"/>
      <c r="H43" s="6" t="n"/>
      <c r="I43" s="6" t="n"/>
      <c r="J43" s="6" t="n"/>
      <c r="K43" s="6" t="n"/>
      <c r="L43" s="6" t="n"/>
      <c r="M43" s="6" t="n"/>
      <c r="N43" s="6" t="n"/>
      <c r="O43" s="6" t="n"/>
      <c r="P43" s="6" t="n"/>
      <c r="Q43" s="6" t="n"/>
      <c r="R43" s="6" t="n"/>
      <c r="S43" s="6" t="n"/>
      <c r="T43" s="6" t="n"/>
      <c r="U43" s="6" t="n"/>
      <c r="V43" s="6" t="n"/>
      <c r="W43" s="6" t="n"/>
      <c r="X43" s="6" t="n"/>
      <c r="Y43" s="6" t="n"/>
      <c r="Z43" s="6" t="n"/>
    </row>
    <row r="44">
      <c r="A44" s="6" t="n"/>
      <c r="B44" s="24" t="inlineStr">
        <is>
          <t>Permit</t>
        </is>
      </c>
      <c r="C44" s="24" t="inlineStr"/>
      <c r="D44" s="24" t="inlineStr"/>
      <c r="E44" s="24" t="inlineStr"/>
      <c r="F44" s="24" t="inlineStr">
        <is>
          <t>Applies to</t>
        </is>
      </c>
      <c r="G44" s="24" t="inlineStr"/>
      <c r="H44" s="24" t="inlineStr">
        <is>
          <t>Authority</t>
        </is>
      </c>
      <c r="I44" s="24" t="inlineStr"/>
      <c r="J44" s="24" t="inlineStr">
        <is>
          <t>Issued</t>
        </is>
      </c>
      <c r="K44" s="24" t="inlineStr">
        <is>
          <t>Expires</t>
        </is>
      </c>
      <c r="L44" s="24" t="inlineStr">
        <is>
          <t>Renew by</t>
        </is>
      </c>
      <c r="M44" s="24" t="inlineStr">
        <is>
          <t>Status</t>
        </is>
      </c>
      <c r="N44" s="24" t="inlineStr"/>
      <c r="O44" s="24" t="inlineStr"/>
      <c r="P44" s="6" t="n"/>
      <c r="Q44" s="6" t="n"/>
      <c r="R44" s="6" t="n"/>
      <c r="S44" s="6" t="n"/>
      <c r="T44" s="6" t="n"/>
      <c r="U44" s="6" t="n"/>
      <c r="V44" s="6" t="n"/>
      <c r="W44" s="6" t="n"/>
      <c r="X44" s="6" t="n"/>
      <c r="Y44" s="6" t="n"/>
      <c r="Z44" s="6" t="n"/>
    </row>
    <row r="45" ht="28" customHeight="1">
      <c r="A45" s="6" t="n"/>
      <c r="B45" s="36">
        <f>IF(INDEX('Giay phep'!$A$2:$A$300,1)="","",INDEX('Giay phep'!$A$2:$A$300,1))</f>
        <v/>
      </c>
      <c r="C45" s="20" t="n"/>
      <c r="D45" s="20" t="n"/>
      <c r="E45" s="20" t="n"/>
      <c r="F45" s="36">
        <f>IF(INDEX('Giay phep'!$B$2:$B$300,1)="","",INDEX('Giay phep'!$B$2:$B$300,1))</f>
        <v/>
      </c>
      <c r="G45" s="20" t="n"/>
      <c r="H45" s="36">
        <f>IF(INDEX('Giay phep'!$C$2:$C$300,1)="","",INDEX('Giay phep'!$C$2:$C$300,1))</f>
        <v/>
      </c>
      <c r="I45" s="20" t="n"/>
      <c r="J45" s="36">
        <f>IF(INDEX('Giay phep'!$D$2:$D$300,1)="","",INDEX('Giay phep'!$D$2:$D$300,1))</f>
        <v/>
      </c>
      <c r="K45" s="36">
        <f>IF(INDEX('Giay phep'!$E$2:$E$300,1)="","",INDEX('Giay phep'!$E$2:$E$300,1))</f>
        <v/>
      </c>
      <c r="L45" s="36">
        <f>IF(INDEX('Giay phep'!$F$2:$F$300,1)="","",INDEX('Giay phep'!$F$2:$F$300,1))</f>
        <v/>
      </c>
      <c r="M45" s="36">
        <f>IF(INDEX('Giay phep'!$G$2:$G$300,1)="","",INDEX('Giay phep'!$G$2:$G$300,1))</f>
        <v/>
      </c>
      <c r="N45" s="20" t="n"/>
      <c r="O45" s="20" t="n"/>
      <c r="P45" s="6" t="n"/>
      <c r="Q45" s="6" t="n"/>
      <c r="R45" s="6" t="n"/>
      <c r="S45" s="6" t="n"/>
      <c r="T45" s="6" t="n"/>
      <c r="U45" s="6" t="n"/>
      <c r="V45" s="6" t="n"/>
      <c r="W45" s="6" t="n"/>
      <c r="X45" s="6" t="n"/>
      <c r="Y45" s="6" t="n"/>
      <c r="Z45" s="6" t="n"/>
    </row>
    <row r="46" ht="28" customHeight="1">
      <c r="A46" s="6" t="n"/>
      <c r="B46" s="36">
        <f>IF(INDEX('Giay phep'!$A$2:$A$300,2)="","",INDEX('Giay phep'!$A$2:$A$300,2))</f>
        <v/>
      </c>
      <c r="C46" s="20" t="n"/>
      <c r="D46" s="20" t="n"/>
      <c r="E46" s="20" t="n"/>
      <c r="F46" s="36">
        <f>IF(INDEX('Giay phep'!$B$2:$B$300,2)="","",INDEX('Giay phep'!$B$2:$B$300,2))</f>
        <v/>
      </c>
      <c r="G46" s="20" t="n"/>
      <c r="H46" s="36">
        <f>IF(INDEX('Giay phep'!$C$2:$C$300,2)="","",INDEX('Giay phep'!$C$2:$C$300,2))</f>
        <v/>
      </c>
      <c r="I46" s="20" t="n"/>
      <c r="J46" s="36">
        <f>IF(INDEX('Giay phep'!$D$2:$D$300,2)="","",INDEX('Giay phep'!$D$2:$D$300,2))</f>
        <v/>
      </c>
      <c r="K46" s="36">
        <f>IF(INDEX('Giay phep'!$E$2:$E$300,2)="","",INDEX('Giay phep'!$E$2:$E$300,2))</f>
        <v/>
      </c>
      <c r="L46" s="36">
        <f>IF(INDEX('Giay phep'!$F$2:$F$300,2)="","",INDEX('Giay phep'!$F$2:$F$300,2))</f>
        <v/>
      </c>
      <c r="M46" s="36">
        <f>IF(INDEX('Giay phep'!$G$2:$G$300,2)="","",INDEX('Giay phep'!$G$2:$G$300,2))</f>
        <v/>
      </c>
      <c r="N46" s="20" t="n"/>
      <c r="O46" s="20" t="n"/>
      <c r="P46" s="6" t="n"/>
      <c r="Q46" s="6" t="n"/>
      <c r="R46" s="6" t="n"/>
      <c r="S46" s="6" t="n"/>
      <c r="T46" s="6" t="n"/>
      <c r="U46" s="6" t="n"/>
      <c r="V46" s="6" t="n"/>
      <c r="W46" s="6" t="n"/>
      <c r="X46" s="6" t="n"/>
      <c r="Y46" s="6" t="n"/>
      <c r="Z46" s="6" t="n"/>
    </row>
    <row r="47" ht="28" customHeight="1">
      <c r="A47" s="6" t="n"/>
      <c r="B47" s="36">
        <f>IF(INDEX('Giay phep'!$A$2:$A$300,3)="","",INDEX('Giay phep'!$A$2:$A$300,3))</f>
        <v/>
      </c>
      <c r="C47" s="20" t="n"/>
      <c r="D47" s="20" t="n"/>
      <c r="E47" s="20" t="n"/>
      <c r="F47" s="36">
        <f>IF(INDEX('Giay phep'!$B$2:$B$300,3)="","",INDEX('Giay phep'!$B$2:$B$300,3))</f>
        <v/>
      </c>
      <c r="G47" s="20" t="n"/>
      <c r="H47" s="36">
        <f>IF(INDEX('Giay phep'!$C$2:$C$300,3)="","",INDEX('Giay phep'!$C$2:$C$300,3))</f>
        <v/>
      </c>
      <c r="I47" s="20" t="n"/>
      <c r="J47" s="36">
        <f>IF(INDEX('Giay phep'!$D$2:$D$300,3)="","",INDEX('Giay phep'!$D$2:$D$300,3))</f>
        <v/>
      </c>
      <c r="K47" s="36">
        <f>IF(INDEX('Giay phep'!$E$2:$E$300,3)="","",INDEX('Giay phep'!$E$2:$E$300,3))</f>
        <v/>
      </c>
      <c r="L47" s="36">
        <f>IF(INDEX('Giay phep'!$F$2:$F$300,3)="","",INDEX('Giay phep'!$F$2:$F$300,3))</f>
        <v/>
      </c>
      <c r="M47" s="36">
        <f>IF(INDEX('Giay phep'!$G$2:$G$300,3)="","",INDEX('Giay phep'!$G$2:$G$300,3))</f>
        <v/>
      </c>
      <c r="N47" s="20" t="n"/>
      <c r="O47" s="20" t="n"/>
      <c r="P47" s="6" t="n"/>
      <c r="Q47" s="6" t="n"/>
      <c r="R47" s="6" t="n"/>
      <c r="S47" s="6" t="n"/>
      <c r="T47" s="6" t="n"/>
      <c r="U47" s="6" t="n"/>
      <c r="V47" s="6" t="n"/>
      <c r="W47" s="6" t="n"/>
      <c r="X47" s="6" t="n"/>
      <c r="Y47" s="6" t="n"/>
      <c r="Z47" s="6" t="n"/>
    </row>
    <row r="48" ht="28" customHeight="1">
      <c r="A48" s="6" t="n"/>
      <c r="B48" s="36">
        <f>IF(INDEX('Giay phep'!$A$2:$A$300,4)="","",INDEX('Giay phep'!$A$2:$A$300,4))</f>
        <v/>
      </c>
      <c r="C48" s="20" t="n"/>
      <c r="D48" s="20" t="n"/>
      <c r="E48" s="20" t="n"/>
      <c r="F48" s="36">
        <f>IF(INDEX('Giay phep'!$B$2:$B$300,4)="","",INDEX('Giay phep'!$B$2:$B$300,4))</f>
        <v/>
      </c>
      <c r="G48" s="20" t="n"/>
      <c r="H48" s="36">
        <f>IF(INDEX('Giay phep'!$C$2:$C$300,4)="","",INDEX('Giay phep'!$C$2:$C$300,4))</f>
        <v/>
      </c>
      <c r="I48" s="20" t="n"/>
      <c r="J48" s="36">
        <f>IF(INDEX('Giay phep'!$D$2:$D$300,4)="","",INDEX('Giay phep'!$D$2:$D$300,4))</f>
        <v/>
      </c>
      <c r="K48" s="36">
        <f>IF(INDEX('Giay phep'!$E$2:$E$300,4)="","",INDEX('Giay phep'!$E$2:$E$300,4))</f>
        <v/>
      </c>
      <c r="L48" s="36">
        <f>IF(INDEX('Giay phep'!$F$2:$F$300,4)="","",INDEX('Giay phep'!$F$2:$F$300,4))</f>
        <v/>
      </c>
      <c r="M48" s="36">
        <f>IF(INDEX('Giay phep'!$G$2:$G$300,4)="","",INDEX('Giay phep'!$G$2:$G$300,4))</f>
        <v/>
      </c>
      <c r="N48" s="20" t="n"/>
      <c r="O48" s="20" t="n"/>
      <c r="P48" s="6" t="n"/>
      <c r="Q48" s="6" t="n"/>
      <c r="R48" s="6" t="n"/>
      <c r="S48" s="6" t="n"/>
      <c r="T48" s="6" t="n"/>
      <c r="U48" s="6" t="n"/>
      <c r="V48" s="6" t="n"/>
      <c r="W48" s="6" t="n"/>
      <c r="X48" s="6" t="n"/>
      <c r="Y48" s="6" t="n"/>
      <c r="Z48" s="6" t="n"/>
    </row>
    <row r="49" ht="28" customHeight="1">
      <c r="A49" s="6" t="n"/>
      <c r="B49" s="36">
        <f>IF(INDEX('Giay phep'!$A$2:$A$300,5)="","",INDEX('Giay phep'!$A$2:$A$300,5))</f>
        <v/>
      </c>
      <c r="C49" s="20" t="n"/>
      <c r="D49" s="20" t="n"/>
      <c r="E49" s="20" t="n"/>
      <c r="F49" s="36">
        <f>IF(INDEX('Giay phep'!$B$2:$B$300,5)="","",INDEX('Giay phep'!$B$2:$B$300,5))</f>
        <v/>
      </c>
      <c r="G49" s="20" t="n"/>
      <c r="H49" s="36">
        <f>IF(INDEX('Giay phep'!$C$2:$C$300,5)="","",INDEX('Giay phep'!$C$2:$C$300,5))</f>
        <v/>
      </c>
      <c r="I49" s="20" t="n"/>
      <c r="J49" s="36">
        <f>IF(INDEX('Giay phep'!$D$2:$D$300,5)="","",INDEX('Giay phep'!$D$2:$D$300,5))</f>
        <v/>
      </c>
      <c r="K49" s="36">
        <f>IF(INDEX('Giay phep'!$E$2:$E$300,5)="","",INDEX('Giay phep'!$E$2:$E$300,5))</f>
        <v/>
      </c>
      <c r="L49" s="36">
        <f>IF(INDEX('Giay phep'!$F$2:$F$300,5)="","",INDEX('Giay phep'!$F$2:$F$300,5))</f>
        <v/>
      </c>
      <c r="M49" s="36">
        <f>IF(INDEX('Giay phep'!$G$2:$G$300,5)="","",INDEX('Giay phep'!$G$2:$G$300,5))</f>
        <v/>
      </c>
      <c r="N49" s="20" t="n"/>
      <c r="O49" s="20" t="n"/>
      <c r="P49" s="6" t="n"/>
      <c r="Q49" s="6" t="n"/>
      <c r="R49" s="6" t="n"/>
      <c r="S49" s="6" t="n"/>
      <c r="T49" s="6" t="n"/>
      <c r="U49" s="6" t="n"/>
      <c r="V49" s="6" t="n"/>
      <c r="W49" s="6" t="n"/>
      <c r="X49" s="6" t="n"/>
      <c r="Y49" s="6" t="n"/>
      <c r="Z49" s="6" t="n"/>
    </row>
    <row r="50" ht="28" customHeight="1">
      <c r="A50" s="6" t="n"/>
      <c r="B50" s="36">
        <f>IF(INDEX('Giay phep'!$A$2:$A$300,6)="","",INDEX('Giay phep'!$A$2:$A$300,6))</f>
        <v/>
      </c>
      <c r="C50" s="20" t="n"/>
      <c r="D50" s="20" t="n"/>
      <c r="E50" s="20" t="n"/>
      <c r="F50" s="36">
        <f>IF(INDEX('Giay phep'!$B$2:$B$300,6)="","",INDEX('Giay phep'!$B$2:$B$300,6))</f>
        <v/>
      </c>
      <c r="G50" s="20" t="n"/>
      <c r="H50" s="36">
        <f>IF(INDEX('Giay phep'!$C$2:$C$300,6)="","",INDEX('Giay phep'!$C$2:$C$300,6))</f>
        <v/>
      </c>
      <c r="I50" s="20" t="n"/>
      <c r="J50" s="36">
        <f>IF(INDEX('Giay phep'!$D$2:$D$300,6)="","",INDEX('Giay phep'!$D$2:$D$300,6))</f>
        <v/>
      </c>
      <c r="K50" s="36">
        <f>IF(INDEX('Giay phep'!$E$2:$E$300,6)="","",INDEX('Giay phep'!$E$2:$E$300,6))</f>
        <v/>
      </c>
      <c r="L50" s="36">
        <f>IF(INDEX('Giay phep'!$F$2:$F$300,6)="","",INDEX('Giay phep'!$F$2:$F$300,6))</f>
        <v/>
      </c>
      <c r="M50" s="36">
        <f>IF(INDEX('Giay phep'!$G$2:$G$300,6)="","",INDEX('Giay phep'!$G$2:$G$300,6))</f>
        <v/>
      </c>
      <c r="N50" s="20" t="n"/>
      <c r="O50" s="20" t="n"/>
      <c r="P50" s="6" t="n"/>
      <c r="Q50" s="6" t="n"/>
      <c r="R50" s="6" t="n"/>
      <c r="S50" s="6" t="n"/>
      <c r="T50" s="6" t="n"/>
      <c r="U50" s="6" t="n"/>
      <c r="V50" s="6" t="n"/>
      <c r="W50" s="6" t="n"/>
      <c r="X50" s="6" t="n"/>
      <c r="Y50" s="6" t="n"/>
      <c r="Z50" s="6" t="n"/>
    </row>
    <row r="51" ht="28" customHeight="1">
      <c r="A51" s="6" t="n"/>
      <c r="B51" s="36">
        <f>IF(INDEX('Giay phep'!$A$2:$A$300,7)="","",INDEX('Giay phep'!$A$2:$A$300,7))</f>
        <v/>
      </c>
      <c r="C51" s="20" t="n"/>
      <c r="D51" s="20" t="n"/>
      <c r="E51" s="20" t="n"/>
      <c r="F51" s="36">
        <f>IF(INDEX('Giay phep'!$B$2:$B$300,7)="","",INDEX('Giay phep'!$B$2:$B$300,7))</f>
        <v/>
      </c>
      <c r="G51" s="20" t="n"/>
      <c r="H51" s="36">
        <f>IF(INDEX('Giay phep'!$C$2:$C$300,7)="","",INDEX('Giay phep'!$C$2:$C$300,7))</f>
        <v/>
      </c>
      <c r="I51" s="20" t="n"/>
      <c r="J51" s="36">
        <f>IF(INDEX('Giay phep'!$D$2:$D$300,7)="","",INDEX('Giay phep'!$D$2:$D$300,7))</f>
        <v/>
      </c>
      <c r="K51" s="36">
        <f>IF(INDEX('Giay phep'!$E$2:$E$300,7)="","",INDEX('Giay phep'!$E$2:$E$300,7))</f>
        <v/>
      </c>
      <c r="L51" s="36">
        <f>IF(INDEX('Giay phep'!$F$2:$F$300,7)="","",INDEX('Giay phep'!$F$2:$F$300,7))</f>
        <v/>
      </c>
      <c r="M51" s="36">
        <f>IF(INDEX('Giay phep'!$G$2:$G$300,7)="","",INDEX('Giay phep'!$G$2:$G$300,7))</f>
        <v/>
      </c>
      <c r="N51" s="20" t="n"/>
      <c r="O51" s="20" t="n"/>
      <c r="P51" s="6" t="n"/>
      <c r="Q51" s="6" t="n"/>
      <c r="R51" s="6" t="n"/>
      <c r="S51" s="6" t="n"/>
      <c r="T51" s="6" t="n"/>
      <c r="U51" s="6" t="n"/>
      <c r="V51" s="6" t="n"/>
      <c r="W51" s="6" t="n"/>
      <c r="X51" s="6" t="n"/>
      <c r="Y51" s="6" t="n"/>
      <c r="Z51" s="6" t="n"/>
    </row>
    <row r="52" ht="28" customHeight="1">
      <c r="A52" s="6" t="n"/>
      <c r="B52" s="36">
        <f>IF(INDEX('Giay phep'!$A$2:$A$300,8)="","",INDEX('Giay phep'!$A$2:$A$300,8))</f>
        <v/>
      </c>
      <c r="C52" s="20" t="n"/>
      <c r="D52" s="20" t="n"/>
      <c r="E52" s="20" t="n"/>
      <c r="F52" s="36">
        <f>IF(INDEX('Giay phep'!$B$2:$B$300,8)="","",INDEX('Giay phep'!$B$2:$B$300,8))</f>
        <v/>
      </c>
      <c r="G52" s="20" t="n"/>
      <c r="H52" s="36">
        <f>IF(INDEX('Giay phep'!$C$2:$C$300,8)="","",INDEX('Giay phep'!$C$2:$C$300,8))</f>
        <v/>
      </c>
      <c r="I52" s="20" t="n"/>
      <c r="J52" s="36">
        <f>IF(INDEX('Giay phep'!$D$2:$D$300,8)="","",INDEX('Giay phep'!$D$2:$D$300,8))</f>
        <v/>
      </c>
      <c r="K52" s="36">
        <f>IF(INDEX('Giay phep'!$E$2:$E$300,8)="","",INDEX('Giay phep'!$E$2:$E$300,8))</f>
        <v/>
      </c>
      <c r="L52" s="36">
        <f>IF(INDEX('Giay phep'!$F$2:$F$300,8)="","",INDEX('Giay phep'!$F$2:$F$300,8))</f>
        <v/>
      </c>
      <c r="M52" s="36">
        <f>IF(INDEX('Giay phep'!$G$2:$G$300,8)="","",INDEX('Giay phep'!$G$2:$G$300,8))</f>
        <v/>
      </c>
      <c r="N52" s="20" t="n"/>
      <c r="O52" s="20" t="n"/>
      <c r="P52" s="6" t="n"/>
      <c r="Q52" s="6" t="n"/>
      <c r="R52" s="6" t="n"/>
      <c r="S52" s="6" t="n"/>
      <c r="T52" s="6" t="n"/>
      <c r="U52" s="6" t="n"/>
      <c r="V52" s="6" t="n"/>
      <c r="W52" s="6" t="n"/>
      <c r="X52" s="6" t="n"/>
      <c r="Y52" s="6" t="n"/>
      <c r="Z52" s="6" t="n"/>
    </row>
    <row r="53" ht="28" customHeight="1">
      <c r="A53" s="6" t="n"/>
      <c r="B53" s="36">
        <f>IF(INDEX('Giay phep'!$A$2:$A$300,9)="","",INDEX('Giay phep'!$A$2:$A$300,9))</f>
        <v/>
      </c>
      <c r="C53" s="20" t="n"/>
      <c r="D53" s="20" t="n"/>
      <c r="E53" s="20" t="n"/>
      <c r="F53" s="36">
        <f>IF(INDEX('Giay phep'!$B$2:$B$300,9)="","",INDEX('Giay phep'!$B$2:$B$300,9))</f>
        <v/>
      </c>
      <c r="G53" s="20" t="n"/>
      <c r="H53" s="36">
        <f>IF(INDEX('Giay phep'!$C$2:$C$300,9)="","",INDEX('Giay phep'!$C$2:$C$300,9))</f>
        <v/>
      </c>
      <c r="I53" s="20" t="n"/>
      <c r="J53" s="36">
        <f>IF(INDEX('Giay phep'!$D$2:$D$300,9)="","",INDEX('Giay phep'!$D$2:$D$300,9))</f>
        <v/>
      </c>
      <c r="K53" s="36">
        <f>IF(INDEX('Giay phep'!$E$2:$E$300,9)="","",INDEX('Giay phep'!$E$2:$E$300,9))</f>
        <v/>
      </c>
      <c r="L53" s="36">
        <f>IF(INDEX('Giay phep'!$F$2:$F$300,9)="","",INDEX('Giay phep'!$F$2:$F$300,9))</f>
        <v/>
      </c>
      <c r="M53" s="36">
        <f>IF(INDEX('Giay phep'!$G$2:$G$300,9)="","",INDEX('Giay phep'!$G$2:$G$300,9))</f>
        <v/>
      </c>
      <c r="N53" s="20" t="n"/>
      <c r="O53" s="20" t="n"/>
      <c r="P53" s="6" t="n"/>
      <c r="Q53" s="6" t="n"/>
      <c r="R53" s="6" t="n"/>
      <c r="S53" s="6" t="n"/>
      <c r="T53" s="6" t="n"/>
      <c r="U53" s="6" t="n"/>
      <c r="V53" s="6" t="n"/>
      <c r="W53" s="6" t="n"/>
      <c r="X53" s="6" t="n"/>
      <c r="Y53" s="6" t="n"/>
      <c r="Z53" s="6" t="n"/>
    </row>
    <row r="54" ht="28" customHeight="1">
      <c r="A54" s="6" t="n"/>
      <c r="B54" s="36">
        <f>IF(INDEX('Giay phep'!$A$2:$A$300,10)="","",INDEX('Giay phep'!$A$2:$A$300,10))</f>
        <v/>
      </c>
      <c r="C54" s="20" t="n"/>
      <c r="D54" s="20" t="n"/>
      <c r="E54" s="20" t="n"/>
      <c r="F54" s="36">
        <f>IF(INDEX('Giay phep'!$B$2:$B$300,10)="","",INDEX('Giay phep'!$B$2:$B$300,10))</f>
        <v/>
      </c>
      <c r="G54" s="20" t="n"/>
      <c r="H54" s="36">
        <f>IF(INDEX('Giay phep'!$C$2:$C$300,10)="","",INDEX('Giay phep'!$C$2:$C$300,10))</f>
        <v/>
      </c>
      <c r="I54" s="20" t="n"/>
      <c r="J54" s="36">
        <f>IF(INDEX('Giay phep'!$D$2:$D$300,10)="","",INDEX('Giay phep'!$D$2:$D$300,10))</f>
        <v/>
      </c>
      <c r="K54" s="36">
        <f>IF(INDEX('Giay phep'!$E$2:$E$300,10)="","",INDEX('Giay phep'!$E$2:$E$300,10))</f>
        <v/>
      </c>
      <c r="L54" s="36">
        <f>IF(INDEX('Giay phep'!$F$2:$F$300,10)="","",INDEX('Giay phep'!$F$2:$F$300,10))</f>
        <v/>
      </c>
      <c r="M54" s="36">
        <f>IF(INDEX('Giay phep'!$G$2:$G$300,10)="","",INDEX('Giay phep'!$G$2:$G$300,10))</f>
        <v/>
      </c>
      <c r="N54" s="20" t="n"/>
      <c r="O54" s="20" t="n"/>
      <c r="P54" s="6" t="n"/>
      <c r="Q54" s="6" t="n"/>
      <c r="R54" s="6" t="n"/>
      <c r="S54" s="6" t="n"/>
      <c r="T54" s="6" t="n"/>
      <c r="U54" s="6" t="n"/>
      <c r="V54" s="6" t="n"/>
      <c r="W54" s="6" t="n"/>
      <c r="X54" s="6" t="n"/>
      <c r="Y54" s="6" t="n"/>
      <c r="Z54" s="6" t="n"/>
    </row>
    <row r="55" ht="28" customHeight="1">
      <c r="A55" s="6" t="n"/>
      <c r="B55" s="36">
        <f>IF(INDEX('Giay phep'!$A$2:$A$300,11)="","",INDEX('Giay phep'!$A$2:$A$300,11))</f>
        <v/>
      </c>
      <c r="C55" s="20" t="n"/>
      <c r="D55" s="20" t="n"/>
      <c r="E55" s="20" t="n"/>
      <c r="F55" s="36">
        <f>IF(INDEX('Giay phep'!$B$2:$B$300,11)="","",INDEX('Giay phep'!$B$2:$B$300,11))</f>
        <v/>
      </c>
      <c r="G55" s="20" t="n"/>
      <c r="H55" s="36">
        <f>IF(INDEX('Giay phep'!$C$2:$C$300,11)="","",INDEX('Giay phep'!$C$2:$C$300,11))</f>
        <v/>
      </c>
      <c r="I55" s="20" t="n"/>
      <c r="J55" s="36">
        <f>IF(INDEX('Giay phep'!$D$2:$D$300,11)="","",INDEX('Giay phep'!$D$2:$D$300,11))</f>
        <v/>
      </c>
      <c r="K55" s="36">
        <f>IF(INDEX('Giay phep'!$E$2:$E$300,11)="","",INDEX('Giay phep'!$E$2:$E$300,11))</f>
        <v/>
      </c>
      <c r="L55" s="36">
        <f>IF(INDEX('Giay phep'!$F$2:$F$300,11)="","",INDEX('Giay phep'!$F$2:$F$300,11))</f>
        <v/>
      </c>
      <c r="M55" s="36">
        <f>IF(INDEX('Giay phep'!$G$2:$G$300,11)="","",INDEX('Giay phep'!$G$2:$G$300,11))</f>
        <v/>
      </c>
      <c r="N55" s="20" t="n"/>
      <c r="O55" s="20" t="n"/>
      <c r="P55" s="6" t="n"/>
      <c r="Q55" s="6" t="n"/>
      <c r="R55" s="6" t="n"/>
      <c r="S55" s="6" t="n"/>
      <c r="T55" s="6" t="n"/>
      <c r="U55" s="6" t="n"/>
      <c r="V55" s="6" t="n"/>
      <c r="W55" s="6" t="n"/>
      <c r="X55" s="6" t="n"/>
      <c r="Y55" s="6" t="n"/>
      <c r="Z55" s="6" t="n"/>
    </row>
    <row r="56" ht="28" customHeight="1">
      <c r="A56" s="6" t="n"/>
      <c r="B56" s="36">
        <f>IF(INDEX('Giay phep'!$A$2:$A$300,12)="","",INDEX('Giay phep'!$A$2:$A$300,12))</f>
        <v/>
      </c>
      <c r="C56" s="20" t="n"/>
      <c r="D56" s="20" t="n"/>
      <c r="E56" s="20" t="n"/>
      <c r="F56" s="36">
        <f>IF(INDEX('Giay phep'!$B$2:$B$300,12)="","",INDEX('Giay phep'!$B$2:$B$300,12))</f>
        <v/>
      </c>
      <c r="G56" s="20" t="n"/>
      <c r="H56" s="36">
        <f>IF(INDEX('Giay phep'!$C$2:$C$300,12)="","",INDEX('Giay phep'!$C$2:$C$300,12))</f>
        <v/>
      </c>
      <c r="I56" s="20" t="n"/>
      <c r="J56" s="36">
        <f>IF(INDEX('Giay phep'!$D$2:$D$300,12)="","",INDEX('Giay phep'!$D$2:$D$300,12))</f>
        <v/>
      </c>
      <c r="K56" s="36">
        <f>IF(INDEX('Giay phep'!$E$2:$E$300,12)="","",INDEX('Giay phep'!$E$2:$E$300,12))</f>
        <v/>
      </c>
      <c r="L56" s="36">
        <f>IF(INDEX('Giay phep'!$F$2:$F$300,12)="","",INDEX('Giay phep'!$F$2:$F$300,12))</f>
        <v/>
      </c>
      <c r="M56" s="36">
        <f>IF(INDEX('Giay phep'!$G$2:$G$300,12)="","",INDEX('Giay phep'!$G$2:$G$300,12))</f>
        <v/>
      </c>
      <c r="N56" s="20" t="n"/>
      <c r="O56" s="20" t="n"/>
      <c r="P56" s="6" t="n"/>
      <c r="Q56" s="6" t="n"/>
      <c r="R56" s="6" t="n"/>
      <c r="S56" s="6" t="n"/>
      <c r="T56" s="6" t="n"/>
      <c r="U56" s="6" t="n"/>
      <c r="V56" s="6" t="n"/>
      <c r="W56" s="6" t="n"/>
      <c r="X56" s="6" t="n"/>
      <c r="Y56" s="6" t="n"/>
      <c r="Z56" s="6" t="n"/>
    </row>
    <row r="57" ht="28" customHeight="1">
      <c r="A57" s="6" t="n"/>
      <c r="B57" s="36">
        <f>IF(INDEX('Giay phep'!$A$2:$A$300,13)="","",INDEX('Giay phep'!$A$2:$A$300,13))</f>
        <v/>
      </c>
      <c r="C57" s="20" t="n"/>
      <c r="D57" s="20" t="n"/>
      <c r="E57" s="20" t="n"/>
      <c r="F57" s="36">
        <f>IF(INDEX('Giay phep'!$B$2:$B$300,13)="","",INDEX('Giay phep'!$B$2:$B$300,13))</f>
        <v/>
      </c>
      <c r="G57" s="20" t="n"/>
      <c r="H57" s="36">
        <f>IF(INDEX('Giay phep'!$C$2:$C$300,13)="","",INDEX('Giay phep'!$C$2:$C$300,13))</f>
        <v/>
      </c>
      <c r="I57" s="20" t="n"/>
      <c r="J57" s="36">
        <f>IF(INDEX('Giay phep'!$D$2:$D$300,13)="","",INDEX('Giay phep'!$D$2:$D$300,13))</f>
        <v/>
      </c>
      <c r="K57" s="36">
        <f>IF(INDEX('Giay phep'!$E$2:$E$300,13)="","",INDEX('Giay phep'!$E$2:$E$300,13))</f>
        <v/>
      </c>
      <c r="L57" s="36">
        <f>IF(INDEX('Giay phep'!$F$2:$F$300,13)="","",INDEX('Giay phep'!$F$2:$F$300,13))</f>
        <v/>
      </c>
      <c r="M57" s="36">
        <f>IF(INDEX('Giay phep'!$G$2:$G$300,13)="","",INDEX('Giay phep'!$G$2:$G$300,13))</f>
        <v/>
      </c>
      <c r="N57" s="20" t="n"/>
      <c r="O57" s="20" t="n"/>
      <c r="P57" s="6" t="n"/>
      <c r="Q57" s="6" t="n"/>
      <c r="R57" s="6" t="n"/>
      <c r="S57" s="6" t="n"/>
      <c r="T57" s="6" t="n"/>
      <c r="U57" s="6" t="n"/>
      <c r="V57" s="6" t="n"/>
      <c r="W57" s="6" t="n"/>
      <c r="X57" s="6" t="n"/>
      <c r="Y57" s="6" t="n"/>
      <c r="Z57" s="6" t="n"/>
    </row>
    <row r="58" ht="28" customHeight="1">
      <c r="A58" s="6" t="n"/>
      <c r="B58" s="36">
        <f>IF(INDEX('Giay phep'!$A$2:$A$300,14)="","",INDEX('Giay phep'!$A$2:$A$300,14))</f>
        <v/>
      </c>
      <c r="C58" s="20" t="n"/>
      <c r="D58" s="20" t="n"/>
      <c r="E58" s="20" t="n"/>
      <c r="F58" s="36">
        <f>IF(INDEX('Giay phep'!$B$2:$B$300,14)="","",INDEX('Giay phep'!$B$2:$B$300,14))</f>
        <v/>
      </c>
      <c r="G58" s="20" t="n"/>
      <c r="H58" s="36">
        <f>IF(INDEX('Giay phep'!$C$2:$C$300,14)="","",INDEX('Giay phep'!$C$2:$C$300,14))</f>
        <v/>
      </c>
      <c r="I58" s="20" t="n"/>
      <c r="J58" s="36">
        <f>IF(INDEX('Giay phep'!$D$2:$D$300,14)="","",INDEX('Giay phep'!$D$2:$D$300,14))</f>
        <v/>
      </c>
      <c r="K58" s="36">
        <f>IF(INDEX('Giay phep'!$E$2:$E$300,14)="","",INDEX('Giay phep'!$E$2:$E$300,14))</f>
        <v/>
      </c>
      <c r="L58" s="36">
        <f>IF(INDEX('Giay phep'!$F$2:$F$300,14)="","",INDEX('Giay phep'!$F$2:$F$300,14))</f>
        <v/>
      </c>
      <c r="M58" s="36">
        <f>IF(INDEX('Giay phep'!$G$2:$G$300,14)="","",INDEX('Giay phep'!$G$2:$G$300,14))</f>
        <v/>
      </c>
      <c r="N58" s="20" t="n"/>
      <c r="O58" s="20" t="n"/>
      <c r="P58" s="6" t="n"/>
      <c r="Q58" s="6" t="n"/>
      <c r="R58" s="6" t="n"/>
      <c r="S58" s="6" t="n"/>
      <c r="T58" s="6" t="n"/>
      <c r="U58" s="6" t="n"/>
      <c r="V58" s="6" t="n"/>
      <c r="W58" s="6" t="n"/>
      <c r="X58" s="6" t="n"/>
      <c r="Y58" s="6" t="n"/>
      <c r="Z58" s="6" t="n"/>
    </row>
    <row r="59" ht="28" customHeight="1">
      <c r="A59" s="6" t="n"/>
      <c r="B59" s="36">
        <f>IF(INDEX('Giay phep'!$A$2:$A$300,15)="","",INDEX('Giay phep'!$A$2:$A$300,15))</f>
        <v/>
      </c>
      <c r="C59" s="20" t="n"/>
      <c r="D59" s="20" t="n"/>
      <c r="E59" s="20" t="n"/>
      <c r="F59" s="36">
        <f>IF(INDEX('Giay phep'!$B$2:$B$300,15)="","",INDEX('Giay phep'!$B$2:$B$300,15))</f>
        <v/>
      </c>
      <c r="G59" s="20" t="n"/>
      <c r="H59" s="36">
        <f>IF(INDEX('Giay phep'!$C$2:$C$300,15)="","",INDEX('Giay phep'!$C$2:$C$300,15))</f>
        <v/>
      </c>
      <c r="I59" s="20" t="n"/>
      <c r="J59" s="36">
        <f>IF(INDEX('Giay phep'!$D$2:$D$300,15)="","",INDEX('Giay phep'!$D$2:$D$300,15))</f>
        <v/>
      </c>
      <c r="K59" s="36">
        <f>IF(INDEX('Giay phep'!$E$2:$E$300,15)="","",INDEX('Giay phep'!$E$2:$E$300,15))</f>
        <v/>
      </c>
      <c r="L59" s="36">
        <f>IF(INDEX('Giay phep'!$F$2:$F$300,15)="","",INDEX('Giay phep'!$F$2:$F$300,15))</f>
        <v/>
      </c>
      <c r="M59" s="36">
        <f>IF(INDEX('Giay phep'!$G$2:$G$300,15)="","",INDEX('Giay phep'!$G$2:$G$300,15))</f>
        <v/>
      </c>
      <c r="N59" s="20" t="n"/>
      <c r="O59" s="20" t="n"/>
      <c r="P59" s="6" t="n"/>
      <c r="Q59" s="6" t="n"/>
      <c r="R59" s="6" t="n"/>
      <c r="S59" s="6" t="n"/>
      <c r="T59" s="6" t="n"/>
      <c r="U59" s="6" t="n"/>
      <c r="V59" s="6" t="n"/>
      <c r="W59" s="6" t="n"/>
      <c r="X59" s="6" t="n"/>
      <c r="Y59" s="6" t="n"/>
      <c r="Z59" s="6" t="n"/>
    </row>
    <row r="60" ht="28" customHeight="1">
      <c r="A60" s="6" t="n"/>
      <c r="B60" s="36">
        <f>IF(INDEX('Giay phep'!$A$2:$A$300,16)="","",INDEX('Giay phep'!$A$2:$A$300,16))</f>
        <v/>
      </c>
      <c r="C60" s="20" t="n"/>
      <c r="D60" s="20" t="n"/>
      <c r="E60" s="20" t="n"/>
      <c r="F60" s="36">
        <f>IF(INDEX('Giay phep'!$B$2:$B$300,16)="","",INDEX('Giay phep'!$B$2:$B$300,16))</f>
        <v/>
      </c>
      <c r="G60" s="20" t="n"/>
      <c r="H60" s="36">
        <f>IF(INDEX('Giay phep'!$C$2:$C$300,16)="","",INDEX('Giay phep'!$C$2:$C$300,16))</f>
        <v/>
      </c>
      <c r="I60" s="20" t="n"/>
      <c r="J60" s="36">
        <f>IF(INDEX('Giay phep'!$D$2:$D$300,16)="","",INDEX('Giay phep'!$D$2:$D$300,16))</f>
        <v/>
      </c>
      <c r="K60" s="36">
        <f>IF(INDEX('Giay phep'!$E$2:$E$300,16)="","",INDEX('Giay phep'!$E$2:$E$300,16))</f>
        <v/>
      </c>
      <c r="L60" s="36">
        <f>IF(INDEX('Giay phep'!$F$2:$F$300,16)="","",INDEX('Giay phep'!$F$2:$F$300,16))</f>
        <v/>
      </c>
      <c r="M60" s="36">
        <f>IF(INDEX('Giay phep'!$G$2:$G$300,16)="","",INDEX('Giay phep'!$G$2:$G$300,16))</f>
        <v/>
      </c>
      <c r="N60" s="20" t="n"/>
      <c r="O60" s="20" t="n"/>
      <c r="P60" s="6" t="n"/>
      <c r="Q60" s="6" t="n"/>
      <c r="R60" s="6" t="n"/>
      <c r="S60" s="6" t="n"/>
      <c r="T60" s="6" t="n"/>
      <c r="U60" s="6" t="n"/>
      <c r="V60" s="6" t="n"/>
      <c r="W60" s="6" t="n"/>
      <c r="X60" s="6" t="n"/>
      <c r="Y60" s="6" t="n"/>
      <c r="Z60" s="6" t="n"/>
    </row>
    <row r="61" ht="28" customHeight="1">
      <c r="A61" s="6" t="n"/>
      <c r="B61" s="36">
        <f>IF(INDEX('Giay phep'!$A$2:$A$300,17)="","",INDEX('Giay phep'!$A$2:$A$300,17))</f>
        <v/>
      </c>
      <c r="C61" s="20" t="n"/>
      <c r="D61" s="20" t="n"/>
      <c r="E61" s="20" t="n"/>
      <c r="F61" s="36">
        <f>IF(INDEX('Giay phep'!$B$2:$B$300,17)="","",INDEX('Giay phep'!$B$2:$B$300,17))</f>
        <v/>
      </c>
      <c r="G61" s="20" t="n"/>
      <c r="H61" s="36">
        <f>IF(INDEX('Giay phep'!$C$2:$C$300,17)="","",INDEX('Giay phep'!$C$2:$C$300,17))</f>
        <v/>
      </c>
      <c r="I61" s="20" t="n"/>
      <c r="J61" s="36">
        <f>IF(INDEX('Giay phep'!$D$2:$D$300,17)="","",INDEX('Giay phep'!$D$2:$D$300,17))</f>
        <v/>
      </c>
      <c r="K61" s="36">
        <f>IF(INDEX('Giay phep'!$E$2:$E$300,17)="","",INDEX('Giay phep'!$E$2:$E$300,17))</f>
        <v/>
      </c>
      <c r="L61" s="36">
        <f>IF(INDEX('Giay phep'!$F$2:$F$300,17)="","",INDEX('Giay phep'!$F$2:$F$300,17))</f>
        <v/>
      </c>
      <c r="M61" s="36">
        <f>IF(INDEX('Giay phep'!$G$2:$G$300,17)="","",INDEX('Giay phep'!$G$2:$G$300,17))</f>
        <v/>
      </c>
      <c r="N61" s="20" t="n"/>
      <c r="O61" s="20" t="n"/>
      <c r="P61" s="6" t="n"/>
      <c r="Q61" s="6" t="n"/>
      <c r="R61" s="6" t="n"/>
      <c r="S61" s="6" t="n"/>
      <c r="T61" s="6" t="n"/>
      <c r="U61" s="6" t="n"/>
      <c r="V61" s="6" t="n"/>
      <c r="W61" s="6" t="n"/>
      <c r="X61" s="6" t="n"/>
      <c r="Y61" s="6" t="n"/>
      <c r="Z61" s="6" t="n"/>
    </row>
    <row r="62" ht="28" customHeight="1">
      <c r="A62" s="6" t="n"/>
      <c r="B62" s="36">
        <f>IF(INDEX('Giay phep'!$A$2:$A$300,18)="","",INDEX('Giay phep'!$A$2:$A$300,18))</f>
        <v/>
      </c>
      <c r="C62" s="20" t="n"/>
      <c r="D62" s="20" t="n"/>
      <c r="E62" s="20" t="n"/>
      <c r="F62" s="36">
        <f>IF(INDEX('Giay phep'!$B$2:$B$300,18)="","",INDEX('Giay phep'!$B$2:$B$300,18))</f>
        <v/>
      </c>
      <c r="G62" s="20" t="n"/>
      <c r="H62" s="36">
        <f>IF(INDEX('Giay phep'!$C$2:$C$300,18)="","",INDEX('Giay phep'!$C$2:$C$300,18))</f>
        <v/>
      </c>
      <c r="I62" s="20" t="n"/>
      <c r="J62" s="36">
        <f>IF(INDEX('Giay phep'!$D$2:$D$300,18)="","",INDEX('Giay phep'!$D$2:$D$300,18))</f>
        <v/>
      </c>
      <c r="K62" s="36">
        <f>IF(INDEX('Giay phep'!$E$2:$E$300,18)="","",INDEX('Giay phep'!$E$2:$E$300,18))</f>
        <v/>
      </c>
      <c r="L62" s="36">
        <f>IF(INDEX('Giay phep'!$F$2:$F$300,18)="","",INDEX('Giay phep'!$F$2:$F$300,18))</f>
        <v/>
      </c>
      <c r="M62" s="36">
        <f>IF(INDEX('Giay phep'!$G$2:$G$300,18)="","",INDEX('Giay phep'!$G$2:$G$300,18))</f>
        <v/>
      </c>
      <c r="N62" s="20" t="n"/>
      <c r="O62" s="20" t="n"/>
      <c r="P62" s="6" t="n"/>
      <c r="Q62" s="6" t="n"/>
      <c r="R62" s="6" t="n"/>
      <c r="S62" s="6" t="n"/>
      <c r="T62" s="6" t="n"/>
      <c r="U62" s="6" t="n"/>
      <c r="V62" s="6" t="n"/>
      <c r="W62" s="6" t="n"/>
      <c r="X62" s="6" t="n"/>
      <c r="Y62" s="6" t="n"/>
      <c r="Z62" s="6" t="n"/>
    </row>
    <row r="63" ht="28" customHeight="1">
      <c r="A63" s="6" t="n"/>
      <c r="B63" s="36">
        <f>IF(INDEX('Giay phep'!$A$2:$A$300,19)="","",INDEX('Giay phep'!$A$2:$A$300,19))</f>
        <v/>
      </c>
      <c r="C63" s="20" t="n"/>
      <c r="D63" s="20" t="n"/>
      <c r="E63" s="20" t="n"/>
      <c r="F63" s="36">
        <f>IF(INDEX('Giay phep'!$B$2:$B$300,19)="","",INDEX('Giay phep'!$B$2:$B$300,19))</f>
        <v/>
      </c>
      <c r="G63" s="20" t="n"/>
      <c r="H63" s="36">
        <f>IF(INDEX('Giay phep'!$C$2:$C$300,19)="","",INDEX('Giay phep'!$C$2:$C$300,19))</f>
        <v/>
      </c>
      <c r="I63" s="20" t="n"/>
      <c r="J63" s="36">
        <f>IF(INDEX('Giay phep'!$D$2:$D$300,19)="","",INDEX('Giay phep'!$D$2:$D$300,19))</f>
        <v/>
      </c>
      <c r="K63" s="36">
        <f>IF(INDEX('Giay phep'!$E$2:$E$300,19)="","",INDEX('Giay phep'!$E$2:$E$300,19))</f>
        <v/>
      </c>
      <c r="L63" s="36">
        <f>IF(INDEX('Giay phep'!$F$2:$F$300,19)="","",INDEX('Giay phep'!$F$2:$F$300,19))</f>
        <v/>
      </c>
      <c r="M63" s="36">
        <f>IF(INDEX('Giay phep'!$G$2:$G$300,19)="","",INDEX('Giay phep'!$G$2:$G$300,19))</f>
        <v/>
      </c>
      <c r="N63" s="20" t="n"/>
      <c r="O63" s="20" t="n"/>
      <c r="P63" s="6" t="n"/>
      <c r="Q63" s="6" t="n"/>
      <c r="R63" s="6" t="n"/>
      <c r="S63" s="6" t="n"/>
      <c r="T63" s="6" t="n"/>
      <c r="U63" s="6" t="n"/>
      <c r="V63" s="6" t="n"/>
      <c r="W63" s="6" t="n"/>
      <c r="X63" s="6" t="n"/>
      <c r="Y63" s="6" t="n"/>
      <c r="Z63" s="6" t="n"/>
    </row>
    <row r="64" ht="28" customHeight="1">
      <c r="A64" s="6" t="n"/>
      <c r="B64" s="36">
        <f>IF(INDEX('Giay phep'!$A$2:$A$300,20)="","",INDEX('Giay phep'!$A$2:$A$300,20))</f>
        <v/>
      </c>
      <c r="C64" s="20" t="n"/>
      <c r="D64" s="20" t="n"/>
      <c r="E64" s="20" t="n"/>
      <c r="F64" s="36">
        <f>IF(INDEX('Giay phep'!$B$2:$B$300,20)="","",INDEX('Giay phep'!$B$2:$B$300,20))</f>
        <v/>
      </c>
      <c r="G64" s="20" t="n"/>
      <c r="H64" s="36">
        <f>IF(INDEX('Giay phep'!$C$2:$C$300,20)="","",INDEX('Giay phep'!$C$2:$C$300,20))</f>
        <v/>
      </c>
      <c r="I64" s="20" t="n"/>
      <c r="J64" s="36">
        <f>IF(INDEX('Giay phep'!$D$2:$D$300,20)="","",INDEX('Giay phep'!$D$2:$D$300,20))</f>
        <v/>
      </c>
      <c r="K64" s="36">
        <f>IF(INDEX('Giay phep'!$E$2:$E$300,20)="","",INDEX('Giay phep'!$E$2:$E$300,20))</f>
        <v/>
      </c>
      <c r="L64" s="36">
        <f>IF(INDEX('Giay phep'!$F$2:$F$300,20)="","",INDEX('Giay phep'!$F$2:$F$300,20))</f>
        <v/>
      </c>
      <c r="M64" s="36">
        <f>IF(INDEX('Giay phep'!$G$2:$G$300,20)="","",INDEX('Giay phep'!$G$2:$G$300,20))</f>
        <v/>
      </c>
      <c r="N64" s="20" t="n"/>
      <c r="O64" s="20" t="n"/>
      <c r="P64" s="6" t="n"/>
      <c r="Q64" s="6" t="n"/>
      <c r="R64" s="6" t="n"/>
      <c r="S64" s="6" t="n"/>
      <c r="T64" s="6" t="n"/>
      <c r="U64" s="6" t="n"/>
      <c r="V64" s="6" t="n"/>
      <c r="W64" s="6" t="n"/>
      <c r="X64" s="6" t="n"/>
      <c r="Y64" s="6" t="n"/>
      <c r="Z64" s="6" t="n"/>
    </row>
    <row r="65">
      <c r="A65" s="6" t="n"/>
      <c r="B65" s="6" t="n"/>
      <c r="C65" s="6" t="n"/>
      <c r="D65" s="6" t="n"/>
      <c r="E65" s="6" t="n"/>
      <c r="F65" s="6" t="n"/>
      <c r="G65" s="6" t="n"/>
      <c r="H65" s="6" t="n"/>
      <c r="I65" s="6" t="n"/>
      <c r="J65" s="6" t="n"/>
      <c r="K65" s="6" t="n"/>
      <c r="L65" s="6" t="n"/>
      <c r="M65" s="6" t="n"/>
      <c r="N65" s="6" t="n"/>
      <c r="O65" s="6" t="n"/>
      <c r="P65" s="6" t="n"/>
      <c r="Q65" s="6" t="n"/>
      <c r="R65" s="6" t="n"/>
      <c r="S65" s="6" t="n"/>
      <c r="T65" s="6" t="n"/>
      <c r="U65" s="6" t="n"/>
      <c r="V65" s="6" t="n"/>
      <c r="W65" s="6" t="n"/>
      <c r="X65" s="6" t="n"/>
      <c r="Y65" s="6" t="n"/>
      <c r="Z65" s="6" t="n"/>
    </row>
    <row r="66">
      <c r="A66" s="6" t="n"/>
      <c r="B66" s="6" t="n"/>
      <c r="C66" s="6" t="n"/>
      <c r="D66" s="6" t="n"/>
      <c r="E66" s="6" t="n"/>
      <c r="F66" s="6" t="n"/>
      <c r="G66" s="6" t="n"/>
      <c r="H66" s="6" t="n"/>
      <c r="I66" s="6" t="n"/>
      <c r="J66" s="6" t="n"/>
      <c r="K66" s="6" t="n"/>
      <c r="L66" s="6" t="n"/>
      <c r="M66" s="6" t="n"/>
      <c r="N66" s="6" t="n"/>
      <c r="O66" s="6" t="n"/>
      <c r="P66" s="6" t="n"/>
      <c r="Q66" s="6" t="n"/>
      <c r="R66" s="6" t="n"/>
      <c r="S66" s="6" t="n"/>
      <c r="T66" s="6" t="n"/>
      <c r="U66" s="6" t="n"/>
      <c r="V66" s="6" t="n"/>
      <c r="W66" s="6" t="n"/>
      <c r="X66" s="6" t="n"/>
      <c r="Y66" s="6" t="n"/>
      <c r="Z66" s="6" t="n"/>
    </row>
    <row r="67">
      <c r="A67" s="6" t="n"/>
      <c r="B67" s="6" t="n"/>
      <c r="C67" s="6" t="n"/>
      <c r="D67" s="6" t="n"/>
      <c r="E67" s="6" t="n"/>
      <c r="F67" s="6" t="n"/>
      <c r="G67" s="6" t="n"/>
      <c r="H67" s="6" t="n"/>
      <c r="I67" s="6" t="n"/>
      <c r="J67" s="6" t="n"/>
      <c r="K67" s="6" t="n"/>
      <c r="L67" s="6" t="n"/>
      <c r="M67" s="6" t="n"/>
      <c r="N67" s="6" t="n"/>
      <c r="O67" s="6" t="n"/>
      <c r="P67" s="6" t="n"/>
      <c r="Q67" s="6" t="n"/>
      <c r="R67" s="6" t="n"/>
      <c r="S67" s="6" t="n"/>
      <c r="T67" s="6" t="n"/>
      <c r="U67" s="6" t="n"/>
      <c r="V67" s="6" t="n"/>
      <c r="W67" s="6" t="n"/>
      <c r="X67" s="6" t="n"/>
      <c r="Y67" s="6" t="n"/>
      <c r="Z67" s="6" t="n"/>
    </row>
    <row r="68">
      <c r="A68" s="6" t="n"/>
      <c r="B68" s="6" t="n"/>
      <c r="C68" s="6" t="n"/>
      <c r="D68" s="6" t="n"/>
      <c r="E68" s="6" t="n"/>
      <c r="F68" s="6" t="n"/>
      <c r="G68" s="6" t="n"/>
      <c r="H68" s="6" t="n"/>
      <c r="I68" s="6" t="n"/>
      <c r="J68" s="6" t="n"/>
      <c r="K68" s="6" t="n"/>
      <c r="L68" s="6" t="n"/>
      <c r="M68" s="6" t="n"/>
      <c r="N68" s="6" t="n"/>
      <c r="O68" s="6" t="n"/>
      <c r="P68" s="6" t="n"/>
      <c r="Q68" s="6" t="n"/>
      <c r="R68" s="6" t="n"/>
      <c r="S68" s="6" t="n"/>
      <c r="T68" s="6" t="n"/>
      <c r="U68" s="6" t="n"/>
      <c r="V68" s="6" t="n"/>
      <c r="W68" s="6" t="n"/>
      <c r="X68" s="6" t="n"/>
      <c r="Y68" s="6" t="n"/>
      <c r="Z68" s="6" t="n"/>
    </row>
    <row r="69">
      <c r="A69" s="6" t="n"/>
      <c r="B69" s="6" t="n"/>
      <c r="C69" s="6" t="n"/>
      <c r="D69" s="6" t="n"/>
      <c r="E69" s="6" t="n"/>
      <c r="F69" s="6" t="n"/>
      <c r="G69" s="6" t="n"/>
      <c r="H69" s="6" t="n"/>
      <c r="I69" s="6" t="n"/>
      <c r="J69" s="6" t="n"/>
      <c r="K69" s="6" t="n"/>
      <c r="L69" s="6" t="n"/>
      <c r="M69" s="6" t="n"/>
      <c r="N69" s="6" t="n"/>
      <c r="O69" s="6" t="n"/>
      <c r="P69" s="6" t="n"/>
      <c r="Q69" s="6" t="n"/>
      <c r="R69" s="6" t="n"/>
      <c r="S69" s="6" t="n"/>
      <c r="T69" s="6" t="n"/>
      <c r="U69" s="6" t="n"/>
      <c r="V69" s="6" t="n"/>
      <c r="W69" s="6" t="n"/>
      <c r="X69" s="6" t="n"/>
      <c r="Y69" s="6" t="n"/>
      <c r="Z69" s="6" t="n"/>
    </row>
    <row r="70">
      <c r="A70" s="6" t="n"/>
      <c r="B70" s="6" t="n"/>
      <c r="C70" s="6" t="n"/>
      <c r="D70" s="6" t="n"/>
      <c r="E70" s="6" t="n"/>
      <c r="F70" s="6" t="n"/>
      <c r="G70" s="6" t="n"/>
      <c r="H70" s="6" t="n"/>
      <c r="I70" s="6" t="n"/>
      <c r="J70" s="6" t="n"/>
      <c r="K70" s="6" t="n"/>
      <c r="L70" s="6" t="n"/>
      <c r="M70" s="6" t="n"/>
      <c r="N70" s="6" t="n"/>
      <c r="O70" s="6" t="n"/>
      <c r="P70" s="6" t="n"/>
      <c r="Q70" s="6" t="n"/>
      <c r="R70" s="6" t="n"/>
      <c r="S70" s="6" t="n"/>
      <c r="T70" s="6" t="n"/>
      <c r="U70" s="6" t="n"/>
      <c r="V70" s="6" t="n"/>
      <c r="W70" s="6" t="n"/>
      <c r="X70" s="6" t="n"/>
      <c r="Y70" s="6" t="n"/>
      <c r="Z70" s="6" t="n"/>
    </row>
    <row r="71">
      <c r="A71" s="6" t="n"/>
      <c r="B71" s="6" t="n"/>
      <c r="C71" s="6" t="n"/>
      <c r="D71" s="6" t="n"/>
      <c r="E71" s="6" t="n"/>
      <c r="F71" s="6" t="n"/>
      <c r="G71" s="6" t="n"/>
      <c r="H71" s="6" t="n"/>
      <c r="I71" s="6" t="n"/>
      <c r="J71" s="6" t="n"/>
      <c r="K71" s="6" t="n"/>
      <c r="L71" s="6" t="n"/>
      <c r="M71" s="6" t="n"/>
      <c r="N71" s="6" t="n"/>
      <c r="O71" s="6" t="n"/>
      <c r="P71" s="6" t="n"/>
      <c r="Q71" s="6" t="n"/>
      <c r="R71" s="6" t="n"/>
      <c r="S71" s="6" t="n"/>
      <c r="T71" s="6" t="n"/>
      <c r="U71" s="6" t="n"/>
      <c r="V71" s="6" t="n"/>
      <c r="W71" s="6" t="n"/>
      <c r="X71" s="6" t="n"/>
      <c r="Y71" s="6" t="n"/>
      <c r="Z71" s="6" t="n"/>
    </row>
    <row r="72">
      <c r="A72" s="6" t="n"/>
      <c r="B72" s="6" t="n"/>
      <c r="C72" s="6" t="n"/>
      <c r="D72" s="6" t="n"/>
      <c r="E72" s="6" t="n"/>
      <c r="F72" s="6" t="n"/>
      <c r="G72" s="6" t="n"/>
      <c r="H72" s="6" t="n"/>
      <c r="I72" s="6" t="n"/>
      <c r="J72" s="6" t="n"/>
      <c r="K72" s="6" t="n"/>
      <c r="L72" s="6" t="n"/>
      <c r="M72" s="6" t="n"/>
      <c r="N72" s="6" t="n"/>
      <c r="O72" s="6" t="n"/>
      <c r="P72" s="6" t="n"/>
      <c r="Q72" s="6" t="n"/>
      <c r="R72" s="6" t="n"/>
      <c r="S72" s="6" t="n"/>
      <c r="T72" s="6" t="n"/>
      <c r="U72" s="6" t="n"/>
      <c r="V72" s="6" t="n"/>
      <c r="W72" s="6" t="n"/>
      <c r="X72" s="6" t="n"/>
      <c r="Y72" s="6" t="n"/>
      <c r="Z72" s="6" t="n"/>
    </row>
    <row r="73">
      <c r="A73" s="6" t="n"/>
      <c r="B73" s="6" t="n"/>
      <c r="C73" s="6" t="n"/>
      <c r="D73" s="6" t="n"/>
      <c r="E73" s="6" t="n"/>
      <c r="F73" s="6" t="n"/>
      <c r="G73" s="6" t="n"/>
      <c r="H73" s="6" t="n"/>
      <c r="I73" s="6" t="n"/>
      <c r="J73" s="6" t="n"/>
      <c r="K73" s="6" t="n"/>
      <c r="L73" s="6" t="n"/>
      <c r="M73" s="6" t="n"/>
      <c r="N73" s="6" t="n"/>
      <c r="O73" s="6" t="n"/>
      <c r="P73" s="6" t="n"/>
      <c r="Q73" s="6" t="n"/>
      <c r="R73" s="6" t="n"/>
      <c r="S73" s="6" t="n"/>
      <c r="T73" s="6" t="n"/>
      <c r="U73" s="6" t="n"/>
      <c r="V73" s="6" t="n"/>
      <c r="W73" s="6" t="n"/>
      <c r="X73" s="6" t="n"/>
      <c r="Y73" s="6" t="n"/>
      <c r="Z73" s="6" t="n"/>
    </row>
    <row r="74">
      <c r="A74" s="6" t="n"/>
      <c r="B74" s="6" t="n"/>
      <c r="C74" s="6" t="n"/>
      <c r="D74" s="6" t="n"/>
      <c r="E74" s="6" t="n"/>
      <c r="F74" s="6" t="n"/>
      <c r="G74" s="6" t="n"/>
      <c r="H74" s="6" t="n"/>
      <c r="I74" s="6" t="n"/>
      <c r="J74" s="6" t="n"/>
      <c r="K74" s="6" t="n"/>
      <c r="L74" s="6" t="n"/>
      <c r="M74" s="6" t="n"/>
      <c r="N74" s="6" t="n"/>
      <c r="O74" s="6" t="n"/>
      <c r="P74" s="6" t="n"/>
      <c r="Q74" s="6" t="n"/>
      <c r="R74" s="6" t="n"/>
      <c r="S74" s="6" t="n"/>
      <c r="T74" s="6" t="n"/>
      <c r="U74" s="6" t="n"/>
      <c r="V74" s="6" t="n"/>
      <c r="W74" s="6" t="n"/>
      <c r="X74" s="6" t="n"/>
      <c r="Y74" s="6" t="n"/>
      <c r="Z74" s="6" t="n"/>
    </row>
    <row r="75">
      <c r="A75" s="6" t="n"/>
      <c r="B75" s="6" t="n"/>
      <c r="C75" s="6" t="n"/>
      <c r="D75" s="6" t="n"/>
      <c r="E75" s="6" t="n"/>
      <c r="F75" s="6" t="n"/>
      <c r="G75" s="6" t="n"/>
      <c r="H75" s="6" t="n"/>
      <c r="I75" s="6" t="n"/>
      <c r="J75" s="6" t="n"/>
      <c r="K75" s="6" t="n"/>
      <c r="L75" s="6" t="n"/>
      <c r="M75" s="6" t="n"/>
      <c r="N75" s="6" t="n"/>
      <c r="O75" s="6" t="n"/>
      <c r="P75" s="6" t="n"/>
      <c r="Q75" s="6" t="n"/>
      <c r="R75" s="6" t="n"/>
      <c r="S75" s="6" t="n"/>
      <c r="T75" s="6" t="n"/>
      <c r="U75" s="6" t="n"/>
      <c r="V75" s="6" t="n"/>
      <c r="W75" s="6" t="n"/>
      <c r="X75" s="6" t="n"/>
      <c r="Y75" s="6" t="n"/>
      <c r="Z75" s="6" t="n"/>
    </row>
    <row r="76">
      <c r="A76" s="6" t="n"/>
      <c r="B76" s="6" t="n"/>
      <c r="C76" s="6" t="n"/>
      <c r="D76" s="6" t="n"/>
      <c r="E76" s="6" t="n"/>
      <c r="F76" s="6" t="n"/>
      <c r="G76" s="6" t="n"/>
      <c r="H76" s="6" t="n"/>
      <c r="I76" s="6" t="n"/>
      <c r="J76" s="6" t="n"/>
      <c r="K76" s="6" t="n"/>
      <c r="L76" s="6" t="n"/>
      <c r="M76" s="6" t="n"/>
      <c r="N76" s="6" t="n"/>
      <c r="O76" s="6" t="n"/>
      <c r="P76" s="6" t="n"/>
      <c r="Q76" s="6" t="n"/>
      <c r="R76" s="6" t="n"/>
      <c r="S76" s="6" t="n"/>
      <c r="T76" s="6" t="n"/>
      <c r="U76" s="6" t="n"/>
      <c r="V76" s="6" t="n"/>
      <c r="W76" s="6" t="n"/>
      <c r="X76" s="6" t="n"/>
      <c r="Y76" s="6" t="n"/>
      <c r="Z76" s="6" t="n"/>
    </row>
    <row r="77">
      <c r="A77" s="6" t="n"/>
      <c r="B77" s="6" t="n"/>
      <c r="C77" s="6" t="n"/>
      <c r="D77" s="6" t="n"/>
      <c r="E77" s="6" t="n"/>
      <c r="F77" s="6" t="n"/>
      <c r="G77" s="6" t="n"/>
      <c r="H77" s="6" t="n"/>
      <c r="I77" s="6" t="n"/>
      <c r="J77" s="6" t="n"/>
      <c r="K77" s="6" t="n"/>
      <c r="L77" s="6" t="n"/>
      <c r="M77" s="6" t="n"/>
      <c r="N77" s="6" t="n"/>
      <c r="O77" s="6" t="n"/>
      <c r="P77" s="6" t="n"/>
      <c r="Q77" s="6" t="n"/>
      <c r="R77" s="6" t="n"/>
      <c r="S77" s="6" t="n"/>
      <c r="T77" s="6" t="n"/>
      <c r="U77" s="6" t="n"/>
      <c r="V77" s="6" t="n"/>
      <c r="W77" s="6" t="n"/>
      <c r="X77" s="6" t="n"/>
      <c r="Y77" s="6" t="n"/>
      <c r="Z77" s="6" t="n"/>
    </row>
    <row r="78">
      <c r="A78" s="6" t="n"/>
      <c r="B78" s="6" t="n"/>
      <c r="C78" s="6" t="n"/>
      <c r="D78" s="6" t="n"/>
      <c r="E78" s="6" t="n"/>
      <c r="F78" s="6" t="n"/>
      <c r="G78" s="6" t="n"/>
      <c r="H78" s="6" t="n"/>
      <c r="I78" s="6" t="n"/>
      <c r="J78" s="6" t="n"/>
      <c r="K78" s="6" t="n"/>
      <c r="L78" s="6" t="n"/>
      <c r="M78" s="6" t="n"/>
      <c r="N78" s="6" t="n"/>
      <c r="O78" s="6" t="n"/>
      <c r="P78" s="6" t="n"/>
      <c r="Q78" s="6" t="n"/>
      <c r="R78" s="6" t="n"/>
      <c r="S78" s="6" t="n"/>
      <c r="T78" s="6" t="n"/>
      <c r="U78" s="6" t="n"/>
      <c r="V78" s="6" t="n"/>
      <c r="W78" s="6" t="n"/>
      <c r="X78" s="6" t="n"/>
      <c r="Y78" s="6" t="n"/>
      <c r="Z78" s="6" t="n"/>
    </row>
    <row r="79">
      <c r="A79" s="6" t="n"/>
      <c r="B79" s="6" t="n"/>
      <c r="C79" s="6" t="n"/>
      <c r="D79" s="6" t="n"/>
      <c r="E79" s="6" t="n"/>
      <c r="F79" s="6" t="n"/>
      <c r="G79" s="6" t="n"/>
      <c r="H79" s="6" t="n"/>
      <c r="I79" s="6" t="n"/>
      <c r="J79" s="6" t="n"/>
      <c r="K79" s="6" t="n"/>
      <c r="L79" s="6" t="n"/>
      <c r="M79" s="6" t="n"/>
      <c r="N79" s="6" t="n"/>
      <c r="O79" s="6" t="n"/>
      <c r="P79" s="6" t="n"/>
      <c r="Q79" s="6" t="n"/>
      <c r="R79" s="6" t="n"/>
      <c r="S79" s="6" t="n"/>
      <c r="T79" s="6" t="n"/>
      <c r="U79" s="6" t="n"/>
      <c r="V79" s="6" t="n"/>
      <c r="W79" s="6" t="n"/>
      <c r="X79" s="6" t="n"/>
      <c r="Y79" s="6" t="n"/>
      <c r="Z79" s="6" t="n"/>
    </row>
    <row r="80">
      <c r="A80" s="6" t="n"/>
      <c r="B80" s="6" t="n"/>
      <c r="C80" s="6" t="n"/>
      <c r="D80" s="6" t="n"/>
      <c r="E80" s="6" t="n"/>
      <c r="F80" s="6" t="n"/>
      <c r="G80" s="6" t="n"/>
      <c r="H80" s="6" t="n"/>
      <c r="I80" s="6" t="n"/>
      <c r="J80" s="6" t="n"/>
      <c r="K80" s="6" t="n"/>
      <c r="L80" s="6" t="n"/>
      <c r="M80" s="6" t="n"/>
      <c r="N80" s="6" t="n"/>
      <c r="O80" s="6" t="n"/>
      <c r="P80" s="6" t="n"/>
      <c r="Q80" s="6" t="n"/>
      <c r="R80" s="6" t="n"/>
      <c r="S80" s="6" t="n"/>
      <c r="T80" s="6" t="n"/>
      <c r="U80" s="6" t="n"/>
      <c r="V80" s="6" t="n"/>
      <c r="W80" s="6" t="n"/>
      <c r="X80" s="6" t="n"/>
      <c r="Y80" s="6" t="n"/>
      <c r="Z80" s="6" t="n"/>
    </row>
    <row r="81">
      <c r="A81" s="6" t="n"/>
      <c r="B81" s="6" t="n"/>
      <c r="C81" s="6" t="n"/>
      <c r="D81" s="6" t="n"/>
      <c r="E81" s="6" t="n"/>
      <c r="F81" s="6" t="n"/>
      <c r="G81" s="6" t="n"/>
      <c r="H81" s="6" t="n"/>
      <c r="I81" s="6" t="n"/>
      <c r="J81" s="6" t="n"/>
      <c r="K81" s="6" t="n"/>
      <c r="L81" s="6" t="n"/>
      <c r="M81" s="6" t="n"/>
      <c r="N81" s="6" t="n"/>
      <c r="O81" s="6" t="n"/>
      <c r="P81" s="6" t="n"/>
      <c r="Q81" s="6" t="n"/>
      <c r="R81" s="6" t="n"/>
      <c r="S81" s="6" t="n"/>
      <c r="T81" s="6" t="n"/>
      <c r="U81" s="6" t="n"/>
      <c r="V81" s="6" t="n"/>
      <c r="W81" s="6" t="n"/>
      <c r="X81" s="6" t="n"/>
      <c r="Y81" s="6" t="n"/>
      <c r="Z81" s="6" t="n"/>
    </row>
    <row r="82">
      <c r="A82" s="6" t="n"/>
      <c r="B82" s="6" t="n"/>
      <c r="C82" s="6" t="n"/>
      <c r="D82" s="6" t="n"/>
      <c r="E82" s="6" t="n"/>
      <c r="F82" s="6" t="n"/>
      <c r="G82" s="6" t="n"/>
      <c r="H82" s="6" t="n"/>
      <c r="I82" s="6" t="n"/>
      <c r="J82" s="6" t="n"/>
      <c r="K82" s="6" t="n"/>
      <c r="L82" s="6" t="n"/>
      <c r="M82" s="6" t="n"/>
      <c r="N82" s="6" t="n"/>
      <c r="O82" s="6" t="n"/>
      <c r="P82" s="6" t="n"/>
      <c r="Q82" s="6" t="n"/>
      <c r="R82" s="6" t="n"/>
      <c r="S82" s="6" t="n"/>
      <c r="T82" s="6" t="n"/>
      <c r="U82" s="6" t="n"/>
      <c r="V82" s="6" t="n"/>
      <c r="W82" s="6" t="n"/>
      <c r="X82" s="6" t="n"/>
      <c r="Y82" s="6" t="n"/>
      <c r="Z82" s="6" t="n"/>
    </row>
    <row r="83">
      <c r="A83" s="6" t="n"/>
      <c r="B83" s="6" t="n"/>
      <c r="C83" s="6" t="n"/>
      <c r="D83" s="6" t="n"/>
      <c r="E83" s="6" t="n"/>
      <c r="F83" s="6" t="n"/>
      <c r="G83" s="6" t="n"/>
      <c r="H83" s="6" t="n"/>
      <c r="I83" s="6" t="n"/>
      <c r="J83" s="6" t="n"/>
      <c r="K83" s="6" t="n"/>
      <c r="L83" s="6" t="n"/>
      <c r="M83" s="6" t="n"/>
      <c r="N83" s="6" t="n"/>
      <c r="O83" s="6" t="n"/>
      <c r="P83" s="6" t="n"/>
      <c r="Q83" s="6" t="n"/>
      <c r="R83" s="6" t="n"/>
      <c r="S83" s="6" t="n"/>
      <c r="T83" s="6" t="n"/>
      <c r="U83" s="6" t="n"/>
      <c r="V83" s="6" t="n"/>
      <c r="W83" s="6" t="n"/>
      <c r="X83" s="6" t="n"/>
      <c r="Y83" s="6" t="n"/>
      <c r="Z83" s="6" t="n"/>
    </row>
    <row r="84">
      <c r="A84" s="6" t="n"/>
      <c r="B84" s="6" t="n"/>
      <c r="C84" s="6" t="n"/>
      <c r="D84" s="6" t="n"/>
      <c r="E84" s="6" t="n"/>
      <c r="F84" s="6" t="n"/>
      <c r="G84" s="6" t="n"/>
      <c r="H84" s="6" t="n"/>
      <c r="I84" s="6" t="n"/>
      <c r="J84" s="6" t="n"/>
      <c r="K84" s="6" t="n"/>
      <c r="L84" s="6" t="n"/>
      <c r="M84" s="6" t="n"/>
      <c r="N84" s="6" t="n"/>
      <c r="O84" s="6" t="n"/>
      <c r="P84" s="6" t="n"/>
      <c r="Q84" s="6" t="n"/>
      <c r="R84" s="6" t="n"/>
      <c r="S84" s="6" t="n"/>
      <c r="T84" s="6" t="n"/>
      <c r="U84" s="6" t="n"/>
      <c r="V84" s="6" t="n"/>
      <c r="W84" s="6" t="n"/>
      <c r="X84" s="6" t="n"/>
      <c r="Y84" s="6" t="n"/>
      <c r="Z84" s="6" t="n"/>
    </row>
    <row r="85">
      <c r="A85" s="6" t="n"/>
      <c r="B85" s="6" t="n"/>
      <c r="C85" s="6" t="n"/>
      <c r="D85" s="6" t="n"/>
      <c r="E85" s="6" t="n"/>
      <c r="F85" s="6" t="n"/>
      <c r="G85" s="6" t="n"/>
      <c r="H85" s="6" t="n"/>
      <c r="I85" s="6" t="n"/>
      <c r="J85" s="6" t="n"/>
      <c r="K85" s="6" t="n"/>
      <c r="L85" s="6" t="n"/>
      <c r="M85" s="6" t="n"/>
      <c r="N85" s="6" t="n"/>
      <c r="O85" s="6" t="n"/>
      <c r="P85" s="6" t="n"/>
      <c r="Q85" s="6" t="n"/>
      <c r="R85" s="6" t="n"/>
      <c r="S85" s="6" t="n"/>
      <c r="T85" s="6" t="n"/>
      <c r="U85" s="6" t="n"/>
      <c r="V85" s="6" t="n"/>
      <c r="W85" s="6" t="n"/>
      <c r="X85" s="6" t="n"/>
      <c r="Y85" s="6" t="n"/>
      <c r="Z85" s="6" t="n"/>
    </row>
    <row r="86">
      <c r="A86" s="6" t="n"/>
      <c r="B86" s="6" t="n"/>
      <c r="C86" s="6" t="n"/>
      <c r="D86" s="6" t="n"/>
      <c r="E86" s="6" t="n"/>
      <c r="F86" s="6" t="n"/>
      <c r="G86" s="6" t="n"/>
      <c r="H86" s="6" t="n"/>
      <c r="I86" s="6" t="n"/>
      <c r="J86" s="6" t="n"/>
      <c r="K86" s="6" t="n"/>
      <c r="L86" s="6" t="n"/>
      <c r="M86" s="6" t="n"/>
      <c r="N86" s="6" t="n"/>
      <c r="O86" s="6" t="n"/>
      <c r="P86" s="6" t="n"/>
      <c r="Q86" s="6" t="n"/>
      <c r="R86" s="6" t="n"/>
      <c r="S86" s="6" t="n"/>
      <c r="T86" s="6" t="n"/>
      <c r="U86" s="6" t="n"/>
      <c r="V86" s="6" t="n"/>
      <c r="W86" s="6" t="n"/>
      <c r="X86" s="6" t="n"/>
      <c r="Y86" s="6" t="n"/>
      <c r="Z86" s="6" t="n"/>
    </row>
    <row r="87">
      <c r="A87" s="6" t="n"/>
      <c r="B87" s="6" t="n"/>
      <c r="C87" s="6" t="n"/>
      <c r="D87" s="6" t="n"/>
      <c r="E87" s="6" t="n"/>
      <c r="F87" s="6" t="n"/>
      <c r="G87" s="6" t="n"/>
      <c r="H87" s="6" t="n"/>
      <c r="I87" s="6" t="n"/>
      <c r="J87" s="6" t="n"/>
      <c r="K87" s="6" t="n"/>
      <c r="L87" s="6" t="n"/>
      <c r="M87" s="6" t="n"/>
      <c r="N87" s="6" t="n"/>
      <c r="O87" s="6" t="n"/>
      <c r="P87" s="6" t="n"/>
      <c r="Q87" s="6" t="n"/>
      <c r="R87" s="6" t="n"/>
      <c r="S87" s="6" t="n"/>
      <c r="T87" s="6" t="n"/>
      <c r="U87" s="6" t="n"/>
      <c r="V87" s="6" t="n"/>
      <c r="W87" s="6" t="n"/>
      <c r="X87" s="6" t="n"/>
      <c r="Y87" s="6" t="n"/>
      <c r="Z87" s="6" t="n"/>
    </row>
    <row r="88">
      <c r="A88" s="6" t="n"/>
      <c r="B88" s="6" t="n"/>
      <c r="C88" s="6" t="n"/>
      <c r="D88" s="6" t="n"/>
      <c r="E88" s="6" t="n"/>
      <c r="F88" s="6" t="n"/>
      <c r="G88" s="6" t="n"/>
      <c r="H88" s="6" t="n"/>
      <c r="I88" s="6" t="n"/>
      <c r="J88" s="6" t="n"/>
      <c r="K88" s="6" t="n"/>
      <c r="L88" s="6" t="n"/>
      <c r="M88" s="6" t="n"/>
      <c r="N88" s="6" t="n"/>
      <c r="O88" s="6" t="n"/>
      <c r="P88" s="6" t="n"/>
      <c r="Q88" s="6" t="n"/>
      <c r="R88" s="6" t="n"/>
      <c r="S88" s="6" t="n"/>
      <c r="T88" s="6" t="n"/>
      <c r="U88" s="6" t="n"/>
      <c r="V88" s="6" t="n"/>
      <c r="W88" s="6" t="n"/>
      <c r="X88" s="6" t="n"/>
      <c r="Y88" s="6" t="n"/>
      <c r="Z88" s="6" t="n"/>
    </row>
    <row r="89">
      <c r="A89" s="6" t="n"/>
      <c r="B89" s="6" t="n"/>
      <c r="C89" s="6" t="n"/>
      <c r="D89" s="6" t="n"/>
      <c r="E89" s="6" t="n"/>
      <c r="F89" s="6" t="n"/>
      <c r="G89" s="6" t="n"/>
      <c r="H89" s="6" t="n"/>
      <c r="I89" s="6" t="n"/>
      <c r="J89" s="6" t="n"/>
      <c r="K89" s="6" t="n"/>
      <c r="L89" s="6" t="n"/>
      <c r="M89" s="6" t="n"/>
      <c r="N89" s="6" t="n"/>
      <c r="O89" s="6" t="n"/>
      <c r="P89" s="6" t="n"/>
      <c r="Q89" s="6" t="n"/>
      <c r="R89" s="6" t="n"/>
      <c r="S89" s="6" t="n"/>
      <c r="T89" s="6" t="n"/>
      <c r="U89" s="6" t="n"/>
      <c r="V89" s="6" t="n"/>
      <c r="W89" s="6" t="n"/>
      <c r="X89" s="6" t="n"/>
      <c r="Y89" s="6" t="n"/>
      <c r="Z89" s="6" t="n"/>
    </row>
    <row r="90">
      <c r="A90" s="6" t="n"/>
      <c r="B90" s="6" t="n"/>
      <c r="C90" s="6" t="n"/>
      <c r="D90" s="6" t="n"/>
      <c r="E90" s="6" t="n"/>
      <c r="F90" s="6" t="n"/>
      <c r="G90" s="6" t="n"/>
      <c r="H90" s="6" t="n"/>
      <c r="I90" s="6" t="n"/>
      <c r="J90" s="6" t="n"/>
      <c r="K90" s="6" t="n"/>
      <c r="L90" s="6" t="n"/>
      <c r="M90" s="6" t="n"/>
      <c r="N90" s="6" t="n"/>
      <c r="O90" s="6" t="n"/>
      <c r="P90" s="6" t="n"/>
      <c r="Q90" s="6" t="n"/>
      <c r="R90" s="6" t="n"/>
      <c r="S90" s="6" t="n"/>
      <c r="T90" s="6" t="n"/>
      <c r="U90" s="6" t="n"/>
      <c r="V90" s="6" t="n"/>
      <c r="W90" s="6" t="n"/>
      <c r="X90" s="6" t="n"/>
      <c r="Y90" s="6" t="n"/>
      <c r="Z90" s="6" t="n"/>
    </row>
    <row r="91">
      <c r="A91" s="6" t="n"/>
      <c r="B91" s="6" t="n"/>
      <c r="C91" s="6" t="n"/>
      <c r="D91" s="6" t="n"/>
      <c r="E91" s="6" t="n"/>
      <c r="F91" s="6" t="n"/>
      <c r="G91" s="6" t="n"/>
      <c r="H91" s="6" t="n"/>
      <c r="I91" s="6" t="n"/>
      <c r="J91" s="6" t="n"/>
      <c r="K91" s="6" t="n"/>
      <c r="L91" s="6" t="n"/>
      <c r="M91" s="6" t="n"/>
      <c r="N91" s="6" t="n"/>
      <c r="O91" s="6" t="n"/>
      <c r="P91" s="6" t="n"/>
      <c r="Q91" s="6" t="n"/>
      <c r="R91" s="6" t="n"/>
      <c r="S91" s="6" t="n"/>
      <c r="T91" s="6" t="n"/>
      <c r="U91" s="6" t="n"/>
      <c r="V91" s="6" t="n"/>
      <c r="W91" s="6" t="n"/>
      <c r="X91" s="6" t="n"/>
      <c r="Y91" s="6" t="n"/>
      <c r="Z91" s="6" t="n"/>
    </row>
    <row r="92">
      <c r="A92" s="6" t="n"/>
      <c r="B92" s="6" t="n"/>
      <c r="C92" s="6" t="n"/>
      <c r="D92" s="6" t="n"/>
      <c r="E92" s="6" t="n"/>
      <c r="F92" s="6" t="n"/>
      <c r="G92" s="6" t="n"/>
      <c r="H92" s="6" t="n"/>
      <c r="I92" s="6" t="n"/>
      <c r="J92" s="6" t="n"/>
      <c r="K92" s="6" t="n"/>
      <c r="L92" s="6" t="n"/>
      <c r="M92" s="6" t="n"/>
      <c r="N92" s="6" t="n"/>
      <c r="O92" s="6" t="n"/>
      <c r="P92" s="6" t="n"/>
      <c r="Q92" s="6" t="n"/>
      <c r="R92" s="6" t="n"/>
      <c r="S92" s="6" t="n"/>
      <c r="T92" s="6" t="n"/>
      <c r="U92" s="6" t="n"/>
      <c r="V92" s="6" t="n"/>
      <c r="W92" s="6" t="n"/>
      <c r="X92" s="6" t="n"/>
      <c r="Y92" s="6" t="n"/>
      <c r="Z92" s="6" t="n"/>
    </row>
    <row r="93">
      <c r="A93" s="6" t="n"/>
      <c r="B93" s="6" t="n"/>
      <c r="C93" s="6" t="n"/>
      <c r="D93" s="6" t="n"/>
      <c r="E93" s="6" t="n"/>
      <c r="F93" s="6" t="n"/>
      <c r="G93" s="6" t="n"/>
      <c r="H93" s="6" t="n"/>
      <c r="I93" s="6" t="n"/>
      <c r="J93" s="6" t="n"/>
      <c r="K93" s="6" t="n"/>
      <c r="L93" s="6" t="n"/>
      <c r="M93" s="6" t="n"/>
      <c r="N93" s="6" t="n"/>
      <c r="O93" s="6" t="n"/>
      <c r="P93" s="6" t="n"/>
      <c r="Q93" s="6" t="n"/>
      <c r="R93" s="6" t="n"/>
      <c r="S93" s="6" t="n"/>
      <c r="T93" s="6" t="n"/>
      <c r="U93" s="6" t="n"/>
      <c r="V93" s="6" t="n"/>
      <c r="W93" s="6" t="n"/>
      <c r="X93" s="6" t="n"/>
      <c r="Y93" s="6" t="n"/>
      <c r="Z93" s="6" t="n"/>
    </row>
    <row r="94">
      <c r="A94" s="6" t="n"/>
      <c r="B94" s="6" t="n"/>
      <c r="C94" s="6" t="n"/>
      <c r="D94" s="6" t="n"/>
      <c r="E94" s="6" t="n"/>
      <c r="F94" s="6" t="n"/>
      <c r="G94" s="6" t="n"/>
      <c r="H94" s="6" t="n"/>
      <c r="I94" s="6" t="n"/>
      <c r="J94" s="6" t="n"/>
      <c r="K94" s="6" t="n"/>
      <c r="L94" s="6" t="n"/>
      <c r="M94" s="6" t="n"/>
      <c r="N94" s="6" t="n"/>
      <c r="O94" s="6" t="n"/>
      <c r="P94" s="6" t="n"/>
      <c r="Q94" s="6" t="n"/>
      <c r="R94" s="6" t="n"/>
      <c r="S94" s="6" t="n"/>
      <c r="T94" s="6" t="n"/>
      <c r="U94" s="6" t="n"/>
      <c r="V94" s="6" t="n"/>
      <c r="W94" s="6" t="n"/>
      <c r="X94" s="6" t="n"/>
      <c r="Y94" s="6" t="n"/>
      <c r="Z94" s="6" t="n"/>
    </row>
    <row r="95">
      <c r="A95" s="6" t="n"/>
      <c r="B95" s="6" t="n"/>
      <c r="C95" s="6" t="n"/>
      <c r="D95" s="6" t="n"/>
      <c r="E95" s="6" t="n"/>
      <c r="F95" s="6" t="n"/>
      <c r="G95" s="6" t="n"/>
      <c r="H95" s="6" t="n"/>
      <c r="I95" s="6" t="n"/>
      <c r="J95" s="6" t="n"/>
      <c r="K95" s="6" t="n"/>
      <c r="L95" s="6" t="n"/>
      <c r="M95" s="6" t="n"/>
      <c r="N95" s="6" t="n"/>
      <c r="O95" s="6" t="n"/>
      <c r="P95" s="6" t="n"/>
      <c r="Q95" s="6" t="n"/>
      <c r="R95" s="6" t="n"/>
      <c r="S95" s="6" t="n"/>
      <c r="T95" s="6" t="n"/>
      <c r="U95" s="6" t="n"/>
      <c r="V95" s="6" t="n"/>
      <c r="W95" s="6" t="n"/>
      <c r="X95" s="6" t="n"/>
      <c r="Y95" s="6" t="n"/>
      <c r="Z95" s="6" t="n"/>
    </row>
    <row r="96">
      <c r="A96" s="6" t="n"/>
      <c r="B96" s="6" t="n"/>
      <c r="C96" s="6" t="n"/>
      <c r="D96" s="6" t="n"/>
      <c r="E96" s="6" t="n"/>
      <c r="F96" s="6" t="n"/>
      <c r="G96" s="6" t="n"/>
      <c r="H96" s="6" t="n"/>
      <c r="I96" s="6" t="n"/>
      <c r="J96" s="6" t="n"/>
      <c r="K96" s="6" t="n"/>
      <c r="L96" s="6" t="n"/>
      <c r="M96" s="6" t="n"/>
      <c r="N96" s="6" t="n"/>
      <c r="O96" s="6" t="n"/>
      <c r="P96" s="6" t="n"/>
      <c r="Q96" s="6" t="n"/>
      <c r="R96" s="6" t="n"/>
      <c r="S96" s="6" t="n"/>
      <c r="T96" s="6" t="n"/>
      <c r="U96" s="6" t="n"/>
      <c r="V96" s="6" t="n"/>
      <c r="W96" s="6" t="n"/>
      <c r="X96" s="6" t="n"/>
      <c r="Y96" s="6" t="n"/>
      <c r="Z96" s="6" t="n"/>
    </row>
    <row r="97">
      <c r="A97" s="6" t="n"/>
      <c r="B97" s="6" t="n"/>
      <c r="C97" s="6" t="n"/>
      <c r="D97" s="6" t="n"/>
      <c r="E97" s="6" t="n"/>
      <c r="F97" s="6" t="n"/>
      <c r="G97" s="6" t="n"/>
      <c r="H97" s="6" t="n"/>
      <c r="I97" s="6" t="n"/>
      <c r="J97" s="6" t="n"/>
      <c r="K97" s="6" t="n"/>
      <c r="L97" s="6" t="n"/>
      <c r="M97" s="6" t="n"/>
      <c r="N97" s="6" t="n"/>
      <c r="O97" s="6" t="n"/>
      <c r="P97" s="6" t="n"/>
      <c r="Q97" s="6" t="n"/>
      <c r="R97" s="6" t="n"/>
      <c r="S97" s="6" t="n"/>
      <c r="T97" s="6" t="n"/>
      <c r="U97" s="6" t="n"/>
      <c r="V97" s="6" t="n"/>
      <c r="W97" s="6" t="n"/>
      <c r="X97" s="6" t="n"/>
      <c r="Y97" s="6" t="n"/>
      <c r="Z97" s="6" t="n"/>
    </row>
    <row r="98">
      <c r="A98" s="6" t="n"/>
      <c r="B98" s="6" t="n"/>
      <c r="C98" s="6" t="n"/>
      <c r="D98" s="6" t="n"/>
      <c r="E98" s="6" t="n"/>
      <c r="F98" s="6" t="n"/>
      <c r="G98" s="6" t="n"/>
      <c r="H98" s="6" t="n"/>
      <c r="I98" s="6" t="n"/>
      <c r="J98" s="6" t="n"/>
      <c r="K98" s="6" t="n"/>
      <c r="L98" s="6" t="n"/>
      <c r="M98" s="6" t="n"/>
      <c r="N98" s="6" t="n"/>
      <c r="O98" s="6" t="n"/>
      <c r="P98" s="6" t="n"/>
      <c r="Q98" s="6" t="n"/>
      <c r="R98" s="6" t="n"/>
      <c r="S98" s="6" t="n"/>
      <c r="T98" s="6" t="n"/>
      <c r="U98" s="6" t="n"/>
      <c r="V98" s="6" t="n"/>
      <c r="W98" s="6" t="n"/>
      <c r="X98" s="6" t="n"/>
      <c r="Y98" s="6" t="n"/>
      <c r="Z98" s="6" t="n"/>
    </row>
    <row r="99">
      <c r="A99" s="6" t="n"/>
      <c r="B99" s="6" t="n"/>
      <c r="C99" s="6" t="n"/>
      <c r="D99" s="6" t="n"/>
      <c r="E99" s="6" t="n"/>
      <c r="F99" s="6" t="n"/>
      <c r="G99" s="6" t="n"/>
      <c r="H99" s="6" t="n"/>
      <c r="I99" s="6" t="n"/>
      <c r="J99" s="6" t="n"/>
      <c r="K99" s="6" t="n"/>
      <c r="L99" s="6" t="n"/>
      <c r="M99" s="6" t="n"/>
      <c r="N99" s="6" t="n"/>
      <c r="O99" s="6" t="n"/>
      <c r="P99" s="6" t="n"/>
      <c r="Q99" s="6" t="n"/>
      <c r="R99" s="6" t="n"/>
      <c r="S99" s="6" t="n"/>
      <c r="T99" s="6" t="n"/>
      <c r="U99" s="6" t="n"/>
      <c r="V99" s="6" t="n"/>
      <c r="W99" s="6" t="n"/>
      <c r="X99" s="6" t="n"/>
      <c r="Y99" s="6" t="n"/>
      <c r="Z99" s="6" t="n"/>
    </row>
    <row r="100">
      <c r="A100" s="6" t="n"/>
      <c r="B100" s="6" t="n"/>
      <c r="C100" s="6" t="n"/>
      <c r="D100" s="6" t="n"/>
      <c r="E100" s="6" t="n"/>
      <c r="F100" s="6" t="n"/>
      <c r="G100" s="6" t="n"/>
      <c r="H100" s="6" t="n"/>
      <c r="I100" s="6" t="n"/>
      <c r="J100" s="6" t="n"/>
      <c r="K100" s="6" t="n"/>
      <c r="L100" s="6" t="n"/>
      <c r="M100" s="6" t="n"/>
      <c r="N100" s="6" t="n"/>
      <c r="O100" s="6" t="n"/>
      <c r="P100" s="6" t="n"/>
      <c r="Q100" s="6" t="n"/>
      <c r="R100" s="6" t="n"/>
      <c r="S100" s="6" t="n"/>
      <c r="T100" s="6" t="n"/>
      <c r="U100" s="6" t="n"/>
      <c r="V100" s="6" t="n"/>
      <c r="W100" s="6" t="n"/>
      <c r="X100" s="6" t="n"/>
      <c r="Y100" s="6" t="n"/>
      <c r="Z100" s="6" t="n"/>
    </row>
    <row r="101">
      <c r="A101" s="6" t="n"/>
      <c r="B101" s="6" t="n"/>
      <c r="C101" s="6" t="n"/>
      <c r="D101" s="6" t="n"/>
      <c r="E101" s="6" t="n"/>
      <c r="F101" s="6" t="n"/>
      <c r="G101" s="6" t="n"/>
      <c r="H101" s="6" t="n"/>
      <c r="I101" s="6" t="n"/>
      <c r="J101" s="6" t="n"/>
      <c r="K101" s="6" t="n"/>
      <c r="L101" s="6" t="n"/>
      <c r="M101" s="6" t="n"/>
      <c r="N101" s="6" t="n"/>
      <c r="O101" s="6" t="n"/>
      <c r="P101" s="6" t="n"/>
      <c r="Q101" s="6" t="n"/>
      <c r="R101" s="6" t="n"/>
      <c r="S101" s="6" t="n"/>
      <c r="T101" s="6" t="n"/>
      <c r="U101" s="6" t="n"/>
      <c r="V101" s="6" t="n"/>
      <c r="W101" s="6" t="n"/>
      <c r="X101" s="6" t="n"/>
      <c r="Y101" s="6" t="n"/>
      <c r="Z101" s="6" t="n"/>
    </row>
    <row r="102">
      <c r="A102" s="6" t="n"/>
      <c r="B102" s="6" t="n"/>
      <c r="C102" s="6" t="n"/>
      <c r="D102" s="6" t="n"/>
      <c r="E102" s="6" t="n"/>
      <c r="F102" s="6" t="n"/>
      <c r="G102" s="6" t="n"/>
      <c r="H102" s="6" t="n"/>
      <c r="I102" s="6" t="n"/>
      <c r="J102" s="6" t="n"/>
      <c r="K102" s="6" t="n"/>
      <c r="L102" s="6" t="n"/>
      <c r="M102" s="6" t="n"/>
      <c r="N102" s="6" t="n"/>
      <c r="O102" s="6" t="n"/>
      <c r="P102" s="6" t="n"/>
      <c r="Q102" s="6" t="n"/>
      <c r="R102" s="6" t="n"/>
      <c r="S102" s="6" t="n"/>
      <c r="T102" s="6" t="n"/>
      <c r="U102" s="6" t="n"/>
      <c r="V102" s="6" t="n"/>
      <c r="W102" s="6" t="n"/>
      <c r="X102" s="6" t="n"/>
      <c r="Y102" s="6" t="n"/>
      <c r="Z102" s="6" t="n"/>
    </row>
    <row r="103">
      <c r="A103" s="6" t="n"/>
      <c r="B103" s="6" t="n"/>
      <c r="C103" s="6" t="n"/>
      <c r="D103" s="6" t="n"/>
      <c r="E103" s="6" t="n"/>
      <c r="F103" s="6" t="n"/>
      <c r="G103" s="6" t="n"/>
      <c r="H103" s="6" t="n"/>
      <c r="I103" s="6" t="n"/>
      <c r="J103" s="6" t="n"/>
      <c r="K103" s="6" t="n"/>
      <c r="L103" s="6" t="n"/>
      <c r="M103" s="6" t="n"/>
      <c r="N103" s="6" t="n"/>
      <c r="O103" s="6" t="n"/>
      <c r="P103" s="6" t="n"/>
      <c r="Q103" s="6" t="n"/>
      <c r="R103" s="6" t="n"/>
      <c r="S103" s="6" t="n"/>
      <c r="T103" s="6" t="n"/>
      <c r="U103" s="6" t="n"/>
      <c r="V103" s="6" t="n"/>
      <c r="W103" s="6" t="n"/>
      <c r="X103" s="6" t="n"/>
      <c r="Y103" s="6" t="n"/>
      <c r="Z103" s="6" t="n"/>
    </row>
    <row r="104">
      <c r="A104" s="6" t="n"/>
      <c r="B104" s="6" t="n"/>
      <c r="C104" s="6" t="n"/>
      <c r="D104" s="6" t="n"/>
      <c r="E104" s="6" t="n"/>
      <c r="F104" s="6" t="n"/>
      <c r="G104" s="6" t="n"/>
      <c r="H104" s="6" t="n"/>
      <c r="I104" s="6" t="n"/>
      <c r="J104" s="6" t="n"/>
      <c r="K104" s="6" t="n"/>
      <c r="L104" s="6" t="n"/>
      <c r="M104" s="6" t="n"/>
      <c r="N104" s="6" t="n"/>
      <c r="O104" s="6" t="n"/>
      <c r="P104" s="6" t="n"/>
      <c r="Q104" s="6" t="n"/>
      <c r="R104" s="6" t="n"/>
      <c r="S104" s="6" t="n"/>
      <c r="T104" s="6" t="n"/>
      <c r="U104" s="6" t="n"/>
      <c r="V104" s="6" t="n"/>
      <c r="W104" s="6" t="n"/>
      <c r="X104" s="6" t="n"/>
      <c r="Y104" s="6" t="n"/>
      <c r="Z104" s="6" t="n"/>
    </row>
    <row r="105">
      <c r="A105" s="6" t="n"/>
      <c r="B105" s="6" t="n"/>
      <c r="C105" s="6" t="n"/>
      <c r="D105" s="6" t="n"/>
      <c r="E105" s="6" t="n"/>
      <c r="F105" s="6" t="n"/>
      <c r="G105" s="6" t="n"/>
      <c r="H105" s="6" t="n"/>
      <c r="I105" s="6" t="n"/>
      <c r="J105" s="6" t="n"/>
      <c r="K105" s="6" t="n"/>
      <c r="L105" s="6" t="n"/>
      <c r="M105" s="6" t="n"/>
      <c r="N105" s="6" t="n"/>
      <c r="O105" s="6" t="n"/>
      <c r="P105" s="6" t="n"/>
      <c r="Q105" s="6" t="n"/>
      <c r="R105" s="6" t="n"/>
      <c r="S105" s="6" t="n"/>
      <c r="T105" s="6" t="n"/>
      <c r="U105" s="6" t="n"/>
      <c r="V105" s="6" t="n"/>
      <c r="W105" s="6" t="n"/>
      <c r="X105" s="6" t="n"/>
      <c r="Y105" s="6" t="n"/>
      <c r="Z105" s="6" t="n"/>
    </row>
    <row r="106">
      <c r="A106" s="6" t="n"/>
      <c r="B106" s="6" t="n"/>
      <c r="C106" s="6" t="n"/>
      <c r="D106" s="6" t="n"/>
      <c r="E106" s="6" t="n"/>
      <c r="F106" s="6" t="n"/>
      <c r="G106" s="6" t="n"/>
      <c r="H106" s="6" t="n"/>
      <c r="I106" s="6" t="n"/>
      <c r="J106" s="6" t="n"/>
      <c r="K106" s="6" t="n"/>
      <c r="L106" s="6" t="n"/>
      <c r="M106" s="6" t="n"/>
      <c r="N106" s="6" t="n"/>
      <c r="O106" s="6" t="n"/>
      <c r="P106" s="6" t="n"/>
      <c r="Q106" s="6" t="n"/>
      <c r="R106" s="6" t="n"/>
      <c r="S106" s="6" t="n"/>
      <c r="T106" s="6" t="n"/>
      <c r="U106" s="6" t="n"/>
      <c r="V106" s="6" t="n"/>
      <c r="W106" s="6" t="n"/>
      <c r="X106" s="6" t="n"/>
      <c r="Y106" s="6" t="n"/>
      <c r="Z106" s="6" t="n"/>
    </row>
    <row r="107">
      <c r="A107" s="6" t="n"/>
      <c r="B107" s="6" t="n"/>
      <c r="C107" s="6" t="n"/>
      <c r="D107" s="6" t="n"/>
      <c r="E107" s="6" t="n"/>
      <c r="F107" s="6" t="n"/>
      <c r="G107" s="6" t="n"/>
      <c r="H107" s="6" t="n"/>
      <c r="I107" s="6" t="n"/>
      <c r="J107" s="6" t="n"/>
      <c r="K107" s="6" t="n"/>
      <c r="L107" s="6" t="n"/>
      <c r="M107" s="6" t="n"/>
      <c r="N107" s="6" t="n"/>
      <c r="O107" s="6" t="n"/>
      <c r="P107" s="6" t="n"/>
      <c r="Q107" s="6" t="n"/>
      <c r="R107" s="6" t="n"/>
      <c r="S107" s="6" t="n"/>
      <c r="T107" s="6" t="n"/>
      <c r="U107" s="6" t="n"/>
      <c r="V107" s="6" t="n"/>
      <c r="W107" s="6" t="n"/>
      <c r="X107" s="6" t="n"/>
      <c r="Y107" s="6" t="n"/>
      <c r="Z107" s="6" t="n"/>
    </row>
    <row r="108">
      <c r="A108" s="6" t="n"/>
      <c r="B108" s="6" t="n"/>
      <c r="C108" s="6" t="n"/>
      <c r="D108" s="6" t="n"/>
      <c r="E108" s="6" t="n"/>
      <c r="F108" s="6" t="n"/>
      <c r="G108" s="6" t="n"/>
      <c r="H108" s="6" t="n"/>
      <c r="I108" s="6" t="n"/>
      <c r="J108" s="6" t="n"/>
      <c r="K108" s="6" t="n"/>
      <c r="L108" s="6" t="n"/>
      <c r="M108" s="6" t="n"/>
      <c r="N108" s="6" t="n"/>
      <c r="O108" s="6" t="n"/>
      <c r="P108" s="6" t="n"/>
      <c r="Q108" s="6" t="n"/>
      <c r="R108" s="6" t="n"/>
      <c r="S108" s="6" t="n"/>
      <c r="T108" s="6" t="n"/>
      <c r="U108" s="6" t="n"/>
      <c r="V108" s="6" t="n"/>
      <c r="W108" s="6" t="n"/>
      <c r="X108" s="6" t="n"/>
      <c r="Y108" s="6" t="n"/>
      <c r="Z108" s="6" t="n"/>
    </row>
    <row r="109">
      <c r="A109" s="6" t="n"/>
      <c r="B109" s="6" t="n"/>
      <c r="C109" s="6" t="n"/>
      <c r="D109" s="6" t="n"/>
      <c r="E109" s="6" t="n"/>
      <c r="F109" s="6" t="n"/>
      <c r="G109" s="6" t="n"/>
      <c r="H109" s="6" t="n"/>
      <c r="I109" s="6" t="n"/>
      <c r="J109" s="6" t="n"/>
      <c r="K109" s="6" t="n"/>
      <c r="L109" s="6" t="n"/>
      <c r="M109" s="6" t="n"/>
      <c r="N109" s="6" t="n"/>
      <c r="O109" s="6" t="n"/>
      <c r="P109" s="6" t="n"/>
      <c r="Q109" s="6" t="n"/>
      <c r="R109" s="6" t="n"/>
      <c r="S109" s="6" t="n"/>
      <c r="T109" s="6" t="n"/>
      <c r="U109" s="6" t="n"/>
      <c r="V109" s="6" t="n"/>
      <c r="W109" s="6" t="n"/>
      <c r="X109" s="6" t="n"/>
      <c r="Y109" s="6" t="n"/>
      <c r="Z109" s="6" t="n"/>
    </row>
    <row r="110">
      <c r="A110" s="6" t="n"/>
      <c r="B110" s="6" t="n"/>
      <c r="C110" s="6" t="n"/>
      <c r="D110" s="6" t="n"/>
      <c r="E110" s="6" t="n"/>
      <c r="F110" s="6" t="n"/>
      <c r="G110" s="6" t="n"/>
      <c r="H110" s="6" t="n"/>
      <c r="I110" s="6" t="n"/>
      <c r="J110" s="6" t="n"/>
      <c r="K110" s="6" t="n"/>
      <c r="L110" s="6" t="n"/>
      <c r="M110" s="6" t="n"/>
      <c r="N110" s="6" t="n"/>
      <c r="O110" s="6" t="n"/>
      <c r="P110" s="6" t="n"/>
      <c r="Q110" s="6" t="n"/>
      <c r="R110" s="6" t="n"/>
      <c r="S110" s="6" t="n"/>
      <c r="T110" s="6" t="n"/>
      <c r="U110" s="6" t="n"/>
      <c r="V110" s="6" t="n"/>
      <c r="W110" s="6" t="n"/>
      <c r="X110" s="6" t="n"/>
      <c r="Y110" s="6" t="n"/>
      <c r="Z110" s="6" t="n"/>
    </row>
    <row r="111">
      <c r="A111" s="6" t="n"/>
      <c r="B111" s="6" t="n"/>
      <c r="C111" s="6" t="n"/>
      <c r="D111" s="6" t="n"/>
      <c r="E111" s="6" t="n"/>
      <c r="F111" s="6" t="n"/>
      <c r="G111" s="6" t="n"/>
      <c r="H111" s="6" t="n"/>
      <c r="I111" s="6" t="n"/>
      <c r="J111" s="6" t="n"/>
      <c r="K111" s="6" t="n"/>
      <c r="L111" s="6" t="n"/>
      <c r="M111" s="6" t="n"/>
      <c r="N111" s="6" t="n"/>
      <c r="O111" s="6" t="n"/>
      <c r="P111" s="6" t="n"/>
      <c r="Q111" s="6" t="n"/>
      <c r="R111" s="6" t="n"/>
      <c r="S111" s="6" t="n"/>
      <c r="T111" s="6" t="n"/>
      <c r="U111" s="6" t="n"/>
      <c r="V111" s="6" t="n"/>
      <c r="W111" s="6" t="n"/>
      <c r="X111" s="6" t="n"/>
      <c r="Y111" s="6" t="n"/>
      <c r="Z111" s="6" t="n"/>
    </row>
    <row r="112">
      <c r="A112" s="6" t="n"/>
      <c r="B112" s="6" t="n"/>
      <c r="C112" s="6" t="n"/>
      <c r="D112" s="6" t="n"/>
      <c r="E112" s="6" t="n"/>
      <c r="F112" s="6" t="n"/>
      <c r="G112" s="6" t="n"/>
      <c r="H112" s="6" t="n"/>
      <c r="I112" s="6" t="n"/>
      <c r="J112" s="6" t="n"/>
      <c r="K112" s="6" t="n"/>
      <c r="L112" s="6" t="n"/>
      <c r="M112" s="6" t="n"/>
      <c r="N112" s="6" t="n"/>
      <c r="O112" s="6" t="n"/>
      <c r="P112" s="6" t="n"/>
      <c r="Q112" s="6" t="n"/>
      <c r="R112" s="6" t="n"/>
      <c r="S112" s="6" t="n"/>
      <c r="T112" s="6" t="n"/>
      <c r="U112" s="6" t="n"/>
      <c r="V112" s="6" t="n"/>
      <c r="W112" s="6" t="n"/>
      <c r="X112" s="6" t="n"/>
      <c r="Y112" s="6" t="n"/>
      <c r="Z112" s="6" t="n"/>
    </row>
    <row r="113">
      <c r="A113" s="6" t="n"/>
      <c r="B113" s="6" t="n"/>
      <c r="C113" s="6" t="n"/>
      <c r="D113" s="6" t="n"/>
      <c r="E113" s="6" t="n"/>
      <c r="F113" s="6" t="n"/>
      <c r="G113" s="6" t="n"/>
      <c r="H113" s="6" t="n"/>
      <c r="I113" s="6" t="n"/>
      <c r="J113" s="6" t="n"/>
      <c r="K113" s="6" t="n"/>
      <c r="L113" s="6" t="n"/>
      <c r="M113" s="6" t="n"/>
      <c r="N113" s="6" t="n"/>
      <c r="O113" s="6" t="n"/>
      <c r="P113" s="6" t="n"/>
      <c r="Q113" s="6" t="n"/>
      <c r="R113" s="6" t="n"/>
      <c r="S113" s="6" t="n"/>
      <c r="T113" s="6" t="n"/>
      <c r="U113" s="6" t="n"/>
      <c r="V113" s="6" t="n"/>
      <c r="W113" s="6" t="n"/>
      <c r="X113" s="6" t="n"/>
      <c r="Y113" s="6" t="n"/>
      <c r="Z113" s="6" t="n"/>
    </row>
    <row r="114">
      <c r="A114" s="6" t="n"/>
      <c r="B114" s="6" t="n"/>
      <c r="C114" s="6" t="n"/>
      <c r="D114" s="6" t="n"/>
      <c r="E114" s="6" t="n"/>
      <c r="F114" s="6" t="n"/>
      <c r="G114" s="6" t="n"/>
      <c r="H114" s="6" t="n"/>
      <c r="I114" s="6" t="n"/>
      <c r="J114" s="6" t="n"/>
      <c r="K114" s="6" t="n"/>
      <c r="L114" s="6" t="n"/>
      <c r="M114" s="6" t="n"/>
      <c r="N114" s="6" t="n"/>
      <c r="O114" s="6" t="n"/>
      <c r="P114" s="6" t="n"/>
      <c r="Q114" s="6" t="n"/>
      <c r="R114" s="6" t="n"/>
      <c r="S114" s="6" t="n"/>
      <c r="T114" s="6" t="n"/>
      <c r="U114" s="6" t="n"/>
      <c r="V114" s="6" t="n"/>
      <c r="W114" s="6" t="n"/>
      <c r="X114" s="6" t="n"/>
      <c r="Y114" s="6" t="n"/>
      <c r="Z114" s="6" t="n"/>
    </row>
    <row r="115">
      <c r="A115" s="6" t="n"/>
      <c r="B115" s="6" t="n"/>
      <c r="C115" s="6" t="n"/>
      <c r="D115" s="6" t="n"/>
      <c r="E115" s="6" t="n"/>
      <c r="F115" s="6" t="n"/>
      <c r="G115" s="6" t="n"/>
      <c r="H115" s="6" t="n"/>
      <c r="I115" s="6" t="n"/>
      <c r="J115" s="6" t="n"/>
      <c r="K115" s="6" t="n"/>
      <c r="L115" s="6" t="n"/>
      <c r="M115" s="6" t="n"/>
      <c r="N115" s="6" t="n"/>
      <c r="O115" s="6" t="n"/>
      <c r="P115" s="6" t="n"/>
      <c r="Q115" s="6" t="n"/>
      <c r="R115" s="6" t="n"/>
      <c r="S115" s="6" t="n"/>
      <c r="T115" s="6" t="n"/>
      <c r="U115" s="6" t="n"/>
      <c r="V115" s="6" t="n"/>
      <c r="W115" s="6" t="n"/>
      <c r="X115" s="6" t="n"/>
      <c r="Y115" s="6" t="n"/>
      <c r="Z115" s="6" t="n"/>
    </row>
    <row r="116">
      <c r="A116" s="6" t="n"/>
      <c r="B116" s="6" t="n"/>
      <c r="C116" s="6" t="n"/>
      <c r="D116" s="6" t="n"/>
      <c r="E116" s="6" t="n"/>
      <c r="F116" s="6" t="n"/>
      <c r="G116" s="6" t="n"/>
      <c r="H116" s="6" t="n"/>
      <c r="I116" s="6" t="n"/>
      <c r="J116" s="6" t="n"/>
      <c r="K116" s="6" t="n"/>
      <c r="L116" s="6" t="n"/>
      <c r="M116" s="6" t="n"/>
      <c r="N116" s="6" t="n"/>
      <c r="O116" s="6" t="n"/>
      <c r="P116" s="6" t="n"/>
      <c r="Q116" s="6" t="n"/>
      <c r="R116" s="6" t="n"/>
      <c r="S116" s="6" t="n"/>
      <c r="T116" s="6" t="n"/>
      <c r="U116" s="6" t="n"/>
      <c r="V116" s="6" t="n"/>
      <c r="W116" s="6" t="n"/>
      <c r="X116" s="6" t="n"/>
      <c r="Y116" s="6" t="n"/>
      <c r="Z116" s="6" t="n"/>
    </row>
    <row r="117">
      <c r="A117" s="6" t="n"/>
      <c r="B117" s="6" t="n"/>
      <c r="C117" s="6" t="n"/>
      <c r="D117" s="6" t="n"/>
      <c r="E117" s="6" t="n"/>
      <c r="F117" s="6" t="n"/>
      <c r="G117" s="6" t="n"/>
      <c r="H117" s="6" t="n"/>
      <c r="I117" s="6" t="n"/>
      <c r="J117" s="6" t="n"/>
      <c r="K117" s="6" t="n"/>
      <c r="L117" s="6" t="n"/>
      <c r="M117" s="6" t="n"/>
      <c r="N117" s="6" t="n"/>
      <c r="O117" s="6" t="n"/>
      <c r="P117" s="6" t="n"/>
      <c r="Q117" s="6" t="n"/>
      <c r="R117" s="6" t="n"/>
      <c r="S117" s="6" t="n"/>
      <c r="T117" s="6" t="n"/>
      <c r="U117" s="6" t="n"/>
      <c r="V117" s="6" t="n"/>
      <c r="W117" s="6" t="n"/>
      <c r="X117" s="6" t="n"/>
      <c r="Y117" s="6" t="n"/>
      <c r="Z117" s="6" t="n"/>
    </row>
    <row r="118">
      <c r="A118" s="6" t="n"/>
      <c r="B118" s="6" t="n"/>
      <c r="C118" s="6" t="n"/>
      <c r="D118" s="6" t="n"/>
      <c r="E118" s="6" t="n"/>
      <c r="F118" s="6" t="n"/>
      <c r="G118" s="6" t="n"/>
      <c r="H118" s="6" t="n"/>
      <c r="I118" s="6" t="n"/>
      <c r="J118" s="6" t="n"/>
      <c r="K118" s="6" t="n"/>
      <c r="L118" s="6" t="n"/>
      <c r="M118" s="6" t="n"/>
      <c r="N118" s="6" t="n"/>
      <c r="O118" s="6" t="n"/>
      <c r="P118" s="6" t="n"/>
      <c r="Q118" s="6" t="n"/>
      <c r="R118" s="6" t="n"/>
      <c r="S118" s="6" t="n"/>
      <c r="T118" s="6" t="n"/>
      <c r="U118" s="6" t="n"/>
      <c r="V118" s="6" t="n"/>
      <c r="W118" s="6" t="n"/>
      <c r="X118" s="6" t="n"/>
      <c r="Y118" s="6" t="n"/>
      <c r="Z118" s="6" t="n"/>
    </row>
    <row r="119">
      <c r="A119" s="6" t="n"/>
      <c r="B119" s="6" t="n"/>
      <c r="C119" s="6" t="n"/>
      <c r="D119" s="6" t="n"/>
      <c r="E119" s="6" t="n"/>
      <c r="F119" s="6" t="n"/>
      <c r="G119" s="6" t="n"/>
      <c r="H119" s="6" t="n"/>
      <c r="I119" s="6" t="n"/>
      <c r="J119" s="6" t="n"/>
      <c r="K119" s="6" t="n"/>
      <c r="L119" s="6" t="n"/>
      <c r="M119" s="6" t="n"/>
      <c r="N119" s="6" t="n"/>
      <c r="O119" s="6" t="n"/>
      <c r="P119" s="6" t="n"/>
      <c r="Q119" s="6" t="n"/>
      <c r="R119" s="6" t="n"/>
      <c r="S119" s="6" t="n"/>
      <c r="T119" s="6" t="n"/>
      <c r="U119" s="6" t="n"/>
      <c r="V119" s="6" t="n"/>
      <c r="W119" s="6" t="n"/>
      <c r="X119" s="6" t="n"/>
      <c r="Y119" s="6" t="n"/>
      <c r="Z119" s="6" t="n"/>
    </row>
    <row r="120">
      <c r="A120" s="6" t="n"/>
      <c r="B120" s="6" t="n"/>
      <c r="C120" s="6" t="n"/>
      <c r="D120" s="6" t="n"/>
      <c r="E120" s="6" t="n"/>
      <c r="F120" s="6" t="n"/>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row>
    <row r="121">
      <c r="A121" s="6" t="n"/>
      <c r="B121" s="6" t="n"/>
      <c r="C121" s="6" t="n"/>
      <c r="D121" s="6" t="n"/>
      <c r="E121" s="6" t="n"/>
      <c r="F121" s="6" t="n"/>
      <c r="G121" s="6" t="n"/>
      <c r="H121" s="6" t="n"/>
      <c r="I121" s="6" t="n"/>
      <c r="J121" s="6" t="n"/>
      <c r="K121" s="6" t="n"/>
      <c r="L121" s="6" t="n"/>
      <c r="M121" s="6" t="n"/>
      <c r="N121" s="6" t="n"/>
      <c r="O121" s="6" t="n"/>
      <c r="P121" s="6" t="n"/>
      <c r="Q121" s="6" t="n"/>
      <c r="R121" s="6" t="n"/>
      <c r="S121" s="6" t="n"/>
      <c r="T121" s="6" t="n"/>
      <c r="U121" s="6" t="n"/>
      <c r="V121" s="6" t="n"/>
      <c r="W121" s="6" t="n"/>
      <c r="X121" s="6" t="n"/>
      <c r="Y121" s="6" t="n"/>
      <c r="Z121" s="6" t="n"/>
    </row>
    <row r="122">
      <c r="A122" s="6" t="n"/>
      <c r="B122" s="6" t="n"/>
      <c r="C122" s="6" t="n"/>
      <c r="D122" s="6" t="n"/>
      <c r="E122" s="6" t="n"/>
      <c r="F122" s="6" t="n"/>
      <c r="G122" s="6" t="n"/>
      <c r="H122" s="6" t="n"/>
      <c r="I122" s="6" t="n"/>
      <c r="J122" s="6" t="n"/>
      <c r="K122" s="6" t="n"/>
      <c r="L122" s="6" t="n"/>
      <c r="M122" s="6" t="n"/>
      <c r="N122" s="6" t="n"/>
      <c r="O122" s="6" t="n"/>
      <c r="P122" s="6" t="n"/>
      <c r="Q122" s="6" t="n"/>
      <c r="R122" s="6" t="n"/>
      <c r="S122" s="6" t="n"/>
      <c r="T122" s="6" t="n"/>
      <c r="U122" s="6" t="n"/>
      <c r="V122" s="6" t="n"/>
      <c r="W122" s="6" t="n"/>
      <c r="X122" s="6" t="n"/>
      <c r="Y122" s="6" t="n"/>
      <c r="Z122" s="6" t="n"/>
    </row>
    <row r="123">
      <c r="A123" s="6" t="n"/>
      <c r="B123" s="6" t="n"/>
      <c r="C123" s="6" t="n"/>
      <c r="D123" s="6" t="n"/>
      <c r="E123" s="6" t="n"/>
      <c r="F123" s="6" t="n"/>
      <c r="G123" s="6" t="n"/>
      <c r="H123" s="6" t="n"/>
      <c r="I123" s="6" t="n"/>
      <c r="J123" s="6" t="n"/>
      <c r="K123" s="6" t="n"/>
      <c r="L123" s="6" t="n"/>
      <c r="M123" s="6" t="n"/>
      <c r="N123" s="6" t="n"/>
      <c r="O123" s="6" t="n"/>
      <c r="P123" s="6" t="n"/>
      <c r="Q123" s="6" t="n"/>
      <c r="R123" s="6" t="n"/>
      <c r="S123" s="6" t="n"/>
      <c r="T123" s="6" t="n"/>
      <c r="U123" s="6" t="n"/>
      <c r="V123" s="6" t="n"/>
      <c r="W123" s="6" t="n"/>
      <c r="X123" s="6" t="n"/>
      <c r="Y123" s="6" t="n"/>
      <c r="Z123" s="6" t="n"/>
    </row>
    <row r="124">
      <c r="A124" s="6" t="n"/>
      <c r="B124" s="6" t="n"/>
      <c r="C124" s="6" t="n"/>
      <c r="D124" s="6" t="n"/>
      <c r="E124" s="6" t="n"/>
      <c r="F124" s="6" t="n"/>
      <c r="G124" s="6" t="n"/>
      <c r="H124" s="6" t="n"/>
      <c r="I124" s="6" t="n"/>
      <c r="J124" s="6" t="n"/>
      <c r="K124" s="6" t="n"/>
      <c r="L124" s="6" t="n"/>
      <c r="M124" s="6" t="n"/>
      <c r="N124" s="6" t="n"/>
      <c r="O124" s="6" t="n"/>
      <c r="P124" s="6" t="n"/>
      <c r="Q124" s="6" t="n"/>
      <c r="R124" s="6" t="n"/>
      <c r="S124" s="6" t="n"/>
      <c r="T124" s="6" t="n"/>
      <c r="U124" s="6" t="n"/>
      <c r="V124" s="6" t="n"/>
      <c r="W124" s="6" t="n"/>
      <c r="X124" s="6" t="n"/>
      <c r="Y124" s="6" t="n"/>
      <c r="Z124" s="6" t="n"/>
    </row>
    <row r="125">
      <c r="A125" s="6" t="n"/>
      <c r="B125" s="6" t="n"/>
      <c r="C125" s="6" t="n"/>
      <c r="D125" s="6" t="n"/>
      <c r="E125" s="6" t="n"/>
      <c r="F125" s="6" t="n"/>
      <c r="G125" s="6" t="n"/>
      <c r="H125" s="6" t="n"/>
      <c r="I125" s="6" t="n"/>
      <c r="J125" s="6" t="n"/>
      <c r="K125" s="6" t="n"/>
      <c r="L125" s="6" t="n"/>
      <c r="M125" s="6" t="n"/>
      <c r="N125" s="6" t="n"/>
      <c r="O125" s="6" t="n"/>
      <c r="P125" s="6" t="n"/>
      <c r="Q125" s="6" t="n"/>
      <c r="R125" s="6" t="n"/>
      <c r="S125" s="6" t="n"/>
      <c r="T125" s="6" t="n"/>
      <c r="U125" s="6" t="n"/>
      <c r="V125" s="6" t="n"/>
      <c r="W125" s="6" t="n"/>
      <c r="X125" s="6" t="n"/>
      <c r="Y125" s="6" t="n"/>
      <c r="Z125" s="6" t="n"/>
    </row>
    <row r="126">
      <c r="A126" s="6" t="n"/>
      <c r="B126" s="6" t="n"/>
      <c r="C126" s="6" t="n"/>
      <c r="D126" s="6" t="n"/>
      <c r="E126" s="6" t="n"/>
      <c r="F126" s="6" t="n"/>
      <c r="G126" s="6" t="n"/>
      <c r="H126" s="6" t="n"/>
      <c r="I126" s="6" t="n"/>
      <c r="J126" s="6" t="n"/>
      <c r="K126" s="6" t="n"/>
      <c r="L126" s="6" t="n"/>
      <c r="M126" s="6" t="n"/>
      <c r="N126" s="6" t="n"/>
      <c r="O126" s="6" t="n"/>
      <c r="P126" s="6" t="n"/>
      <c r="Q126" s="6" t="n"/>
      <c r="R126" s="6" t="n"/>
      <c r="S126" s="6" t="n"/>
      <c r="T126" s="6" t="n"/>
      <c r="U126" s="6" t="n"/>
      <c r="V126" s="6" t="n"/>
      <c r="W126" s="6" t="n"/>
      <c r="X126" s="6" t="n"/>
      <c r="Y126" s="6" t="n"/>
      <c r="Z126" s="6" t="n"/>
    </row>
    <row r="127">
      <c r="A127" s="6" t="n"/>
      <c r="B127" s="6" t="n"/>
      <c r="C127" s="6" t="n"/>
      <c r="D127" s="6" t="n"/>
      <c r="E127" s="6" t="n"/>
      <c r="F127" s="6" t="n"/>
      <c r="G127" s="6" t="n"/>
      <c r="H127" s="6" t="n"/>
      <c r="I127" s="6" t="n"/>
      <c r="J127" s="6" t="n"/>
      <c r="K127" s="6" t="n"/>
      <c r="L127" s="6" t="n"/>
      <c r="M127" s="6" t="n"/>
      <c r="N127" s="6" t="n"/>
      <c r="O127" s="6" t="n"/>
      <c r="P127" s="6" t="n"/>
      <c r="Q127" s="6" t="n"/>
      <c r="R127" s="6" t="n"/>
      <c r="S127" s="6" t="n"/>
      <c r="T127" s="6" t="n"/>
      <c r="U127" s="6" t="n"/>
      <c r="V127" s="6" t="n"/>
      <c r="W127" s="6" t="n"/>
      <c r="X127" s="6" t="n"/>
      <c r="Y127" s="6" t="n"/>
      <c r="Z127" s="6" t="n"/>
    </row>
    <row r="128">
      <c r="A128" s="6" t="n"/>
      <c r="B128" s="6" t="n"/>
      <c r="C128" s="6" t="n"/>
      <c r="D128" s="6" t="n"/>
      <c r="E128" s="6" t="n"/>
      <c r="F128" s="6" t="n"/>
      <c r="G128" s="6" t="n"/>
      <c r="H128" s="6" t="n"/>
      <c r="I128" s="6" t="n"/>
      <c r="J128" s="6" t="n"/>
      <c r="K128" s="6" t="n"/>
      <c r="L128" s="6" t="n"/>
      <c r="M128" s="6" t="n"/>
      <c r="N128" s="6" t="n"/>
      <c r="O128" s="6" t="n"/>
      <c r="P128" s="6" t="n"/>
      <c r="Q128" s="6" t="n"/>
      <c r="R128" s="6" t="n"/>
      <c r="S128" s="6" t="n"/>
      <c r="T128" s="6" t="n"/>
      <c r="U128" s="6" t="n"/>
      <c r="V128" s="6" t="n"/>
      <c r="W128" s="6" t="n"/>
      <c r="X128" s="6" t="n"/>
      <c r="Y128" s="6" t="n"/>
      <c r="Z128" s="6" t="n"/>
    </row>
    <row r="129">
      <c r="A129" s="6" t="n"/>
      <c r="B129" s="6" t="n"/>
      <c r="C129" s="6" t="n"/>
      <c r="D129" s="6" t="n"/>
      <c r="E129" s="6" t="n"/>
      <c r="F129" s="6" t="n"/>
      <c r="G129" s="6" t="n"/>
      <c r="H129" s="6" t="n"/>
      <c r="I129" s="6" t="n"/>
      <c r="J129" s="6" t="n"/>
      <c r="K129" s="6" t="n"/>
      <c r="L129" s="6" t="n"/>
      <c r="M129" s="6" t="n"/>
      <c r="N129" s="6" t="n"/>
      <c r="O129" s="6" t="n"/>
      <c r="P129" s="6" t="n"/>
      <c r="Q129" s="6" t="n"/>
      <c r="R129" s="6" t="n"/>
      <c r="S129" s="6" t="n"/>
      <c r="T129" s="6" t="n"/>
      <c r="U129" s="6" t="n"/>
      <c r="V129" s="6" t="n"/>
      <c r="W129" s="6" t="n"/>
      <c r="X129" s="6" t="n"/>
      <c r="Y129" s="6" t="n"/>
      <c r="Z129" s="6" t="n"/>
    </row>
    <row r="130">
      <c r="A130" s="6" t="n"/>
      <c r="B130" s="6" t="n"/>
      <c r="C130" s="6" t="n"/>
      <c r="D130" s="6" t="n"/>
      <c r="E130" s="6" t="n"/>
      <c r="F130" s="6" t="n"/>
      <c r="G130" s="6" t="n"/>
      <c r="H130" s="6" t="n"/>
      <c r="I130" s="6" t="n"/>
      <c r="J130" s="6" t="n"/>
      <c r="K130" s="6" t="n"/>
      <c r="L130" s="6" t="n"/>
      <c r="M130" s="6" t="n"/>
      <c r="N130" s="6" t="n"/>
      <c r="O130" s="6" t="n"/>
      <c r="P130" s="6" t="n"/>
      <c r="Q130" s="6" t="n"/>
      <c r="R130" s="6" t="n"/>
      <c r="S130" s="6" t="n"/>
      <c r="T130" s="6" t="n"/>
      <c r="U130" s="6" t="n"/>
      <c r="V130" s="6" t="n"/>
      <c r="W130" s="6" t="n"/>
      <c r="X130" s="6" t="n"/>
      <c r="Y130" s="6" t="n"/>
      <c r="Z130" s="6" t="n"/>
    </row>
    <row r="131">
      <c r="A131" s="6" t="n"/>
      <c r="B131" s="6" t="n"/>
      <c r="C131" s="6" t="n"/>
      <c r="D131" s="6" t="n"/>
      <c r="E131" s="6" t="n"/>
      <c r="F131" s="6" t="n"/>
      <c r="G131" s="6" t="n"/>
      <c r="H131" s="6" t="n"/>
      <c r="I131" s="6" t="n"/>
      <c r="J131" s="6" t="n"/>
      <c r="K131" s="6" t="n"/>
      <c r="L131" s="6" t="n"/>
      <c r="M131" s="6" t="n"/>
      <c r="N131" s="6" t="n"/>
      <c r="O131" s="6" t="n"/>
      <c r="P131" s="6" t="n"/>
      <c r="Q131" s="6" t="n"/>
      <c r="R131" s="6" t="n"/>
      <c r="S131" s="6" t="n"/>
      <c r="T131" s="6" t="n"/>
      <c r="U131" s="6" t="n"/>
      <c r="V131" s="6" t="n"/>
      <c r="W131" s="6" t="n"/>
      <c r="X131" s="6" t="n"/>
      <c r="Y131" s="6" t="n"/>
      <c r="Z131" s="6" t="n"/>
    </row>
    <row r="132">
      <c r="A132" s="6" t="n"/>
      <c r="B132" s="6" t="n"/>
      <c r="C132" s="6" t="n"/>
      <c r="D132" s="6" t="n"/>
      <c r="E132" s="6" t="n"/>
      <c r="F132" s="6" t="n"/>
      <c r="G132" s="6" t="n"/>
      <c r="H132" s="6" t="n"/>
      <c r="I132" s="6" t="n"/>
      <c r="J132" s="6" t="n"/>
      <c r="K132" s="6" t="n"/>
      <c r="L132" s="6" t="n"/>
      <c r="M132" s="6" t="n"/>
      <c r="N132" s="6" t="n"/>
      <c r="O132" s="6" t="n"/>
      <c r="P132" s="6" t="n"/>
      <c r="Q132" s="6" t="n"/>
      <c r="R132" s="6" t="n"/>
      <c r="S132" s="6" t="n"/>
      <c r="T132" s="6" t="n"/>
      <c r="U132" s="6" t="n"/>
      <c r="V132" s="6" t="n"/>
      <c r="W132" s="6" t="n"/>
      <c r="X132" s="6" t="n"/>
      <c r="Y132" s="6" t="n"/>
      <c r="Z132" s="6" t="n"/>
    </row>
    <row r="133">
      <c r="A133" s="6" t="n"/>
      <c r="B133" s="6" t="n"/>
      <c r="C133" s="6" t="n"/>
      <c r="D133" s="6" t="n"/>
      <c r="E133" s="6" t="n"/>
      <c r="F133" s="6" t="n"/>
      <c r="G133" s="6" t="n"/>
      <c r="H133" s="6" t="n"/>
      <c r="I133" s="6" t="n"/>
      <c r="J133" s="6" t="n"/>
      <c r="K133" s="6" t="n"/>
      <c r="L133" s="6" t="n"/>
      <c r="M133" s="6" t="n"/>
      <c r="N133" s="6" t="n"/>
      <c r="O133" s="6" t="n"/>
      <c r="P133" s="6" t="n"/>
      <c r="Q133" s="6" t="n"/>
      <c r="R133" s="6" t="n"/>
      <c r="S133" s="6" t="n"/>
      <c r="T133" s="6" t="n"/>
      <c r="U133" s="6" t="n"/>
      <c r="V133" s="6" t="n"/>
      <c r="W133" s="6" t="n"/>
      <c r="X133" s="6" t="n"/>
      <c r="Y133" s="6" t="n"/>
      <c r="Z133" s="6" t="n"/>
    </row>
    <row r="134">
      <c r="A134" s="6" t="n"/>
      <c r="B134" s="6" t="n"/>
      <c r="C134" s="6" t="n"/>
      <c r="D134" s="6" t="n"/>
      <c r="E134" s="6" t="n"/>
      <c r="F134" s="6" t="n"/>
      <c r="G134" s="6" t="n"/>
      <c r="H134" s="6" t="n"/>
      <c r="I134" s="6" t="n"/>
      <c r="J134" s="6" t="n"/>
      <c r="K134" s="6" t="n"/>
      <c r="L134" s="6" t="n"/>
      <c r="M134" s="6" t="n"/>
      <c r="N134" s="6" t="n"/>
      <c r="O134" s="6" t="n"/>
      <c r="P134" s="6" t="n"/>
      <c r="Q134" s="6" t="n"/>
      <c r="R134" s="6" t="n"/>
      <c r="S134" s="6" t="n"/>
      <c r="T134" s="6" t="n"/>
      <c r="U134" s="6" t="n"/>
      <c r="V134" s="6" t="n"/>
      <c r="W134" s="6" t="n"/>
      <c r="X134" s="6" t="n"/>
      <c r="Y134" s="6" t="n"/>
      <c r="Z134" s="6" t="n"/>
    </row>
    <row r="135">
      <c r="A135" s="6" t="n"/>
      <c r="B135" s="6" t="n"/>
      <c r="C135" s="6" t="n"/>
      <c r="D135" s="6" t="n"/>
      <c r="E135" s="6" t="n"/>
      <c r="F135" s="6" t="n"/>
      <c r="G135" s="6" t="n"/>
      <c r="H135" s="6" t="n"/>
      <c r="I135" s="6" t="n"/>
      <c r="J135" s="6" t="n"/>
      <c r="K135" s="6" t="n"/>
      <c r="L135" s="6" t="n"/>
      <c r="M135" s="6" t="n"/>
      <c r="N135" s="6" t="n"/>
      <c r="O135" s="6" t="n"/>
      <c r="P135" s="6" t="n"/>
      <c r="Q135" s="6" t="n"/>
      <c r="R135" s="6" t="n"/>
      <c r="S135" s="6" t="n"/>
      <c r="T135" s="6" t="n"/>
      <c r="U135" s="6" t="n"/>
      <c r="V135" s="6" t="n"/>
      <c r="W135" s="6" t="n"/>
      <c r="X135" s="6" t="n"/>
      <c r="Y135" s="6" t="n"/>
      <c r="Z135" s="6" t="n"/>
    </row>
    <row r="136">
      <c r="A136" s="6" t="n"/>
      <c r="B136" s="6" t="n"/>
      <c r="C136" s="6" t="n"/>
      <c r="D136" s="6" t="n"/>
      <c r="E136" s="6" t="n"/>
      <c r="F136" s="6" t="n"/>
      <c r="G136" s="6" t="n"/>
      <c r="H136" s="6" t="n"/>
      <c r="I136" s="6" t="n"/>
      <c r="J136" s="6" t="n"/>
      <c r="K136" s="6" t="n"/>
      <c r="L136" s="6" t="n"/>
      <c r="M136" s="6" t="n"/>
      <c r="N136" s="6" t="n"/>
      <c r="O136" s="6" t="n"/>
      <c r="P136" s="6" t="n"/>
      <c r="Q136" s="6" t="n"/>
      <c r="R136" s="6" t="n"/>
      <c r="S136" s="6" t="n"/>
      <c r="T136" s="6" t="n"/>
      <c r="U136" s="6" t="n"/>
      <c r="V136" s="6" t="n"/>
      <c r="W136" s="6" t="n"/>
      <c r="X136" s="6" t="n"/>
      <c r="Y136" s="6" t="n"/>
      <c r="Z136" s="6" t="n"/>
    </row>
    <row r="137">
      <c r="A137" s="6" t="n"/>
      <c r="B137" s="6" t="n"/>
      <c r="C137" s="6" t="n"/>
      <c r="D137" s="6" t="n"/>
      <c r="E137" s="6" t="n"/>
      <c r="F137" s="6" t="n"/>
      <c r="G137" s="6" t="n"/>
      <c r="H137" s="6" t="n"/>
      <c r="I137" s="6" t="n"/>
      <c r="J137" s="6" t="n"/>
      <c r="K137" s="6" t="n"/>
      <c r="L137" s="6" t="n"/>
      <c r="M137" s="6" t="n"/>
      <c r="N137" s="6" t="n"/>
      <c r="O137" s="6" t="n"/>
      <c r="P137" s="6" t="n"/>
      <c r="Q137" s="6" t="n"/>
      <c r="R137" s="6" t="n"/>
      <c r="S137" s="6" t="n"/>
      <c r="T137" s="6" t="n"/>
      <c r="U137" s="6" t="n"/>
      <c r="V137" s="6" t="n"/>
      <c r="W137" s="6" t="n"/>
      <c r="X137" s="6" t="n"/>
      <c r="Y137" s="6" t="n"/>
      <c r="Z137" s="6" t="n"/>
    </row>
    <row r="138">
      <c r="A138" s="6" t="n"/>
      <c r="B138" s="6" t="n"/>
      <c r="C138" s="6" t="n"/>
      <c r="D138" s="6" t="n"/>
      <c r="E138" s="6" t="n"/>
      <c r="F138" s="6" t="n"/>
      <c r="G138" s="6" t="n"/>
      <c r="H138" s="6" t="n"/>
      <c r="I138" s="6" t="n"/>
      <c r="J138" s="6" t="n"/>
      <c r="K138" s="6" t="n"/>
      <c r="L138" s="6" t="n"/>
      <c r="M138" s="6" t="n"/>
      <c r="N138" s="6" t="n"/>
      <c r="O138" s="6" t="n"/>
      <c r="P138" s="6" t="n"/>
      <c r="Q138" s="6" t="n"/>
      <c r="R138" s="6" t="n"/>
      <c r="S138" s="6" t="n"/>
      <c r="T138" s="6" t="n"/>
      <c r="U138" s="6" t="n"/>
      <c r="V138" s="6" t="n"/>
      <c r="W138" s="6" t="n"/>
      <c r="X138" s="6" t="n"/>
      <c r="Y138" s="6" t="n"/>
      <c r="Z138" s="6" t="n"/>
    </row>
    <row r="139">
      <c r="A139" s="6" t="n"/>
      <c r="B139" s="6" t="n"/>
      <c r="C139" s="6" t="n"/>
      <c r="D139" s="6" t="n"/>
      <c r="E139" s="6" t="n"/>
      <c r="F139" s="6" t="n"/>
      <c r="G139" s="6" t="n"/>
      <c r="H139" s="6" t="n"/>
      <c r="I139" s="6" t="n"/>
      <c r="J139" s="6" t="n"/>
      <c r="K139" s="6" t="n"/>
      <c r="L139" s="6" t="n"/>
      <c r="M139" s="6" t="n"/>
      <c r="N139" s="6" t="n"/>
      <c r="O139" s="6" t="n"/>
      <c r="P139" s="6" t="n"/>
      <c r="Q139" s="6" t="n"/>
      <c r="R139" s="6" t="n"/>
      <c r="S139" s="6" t="n"/>
      <c r="T139" s="6" t="n"/>
      <c r="U139" s="6" t="n"/>
      <c r="V139" s="6" t="n"/>
      <c r="W139" s="6" t="n"/>
      <c r="X139" s="6" t="n"/>
      <c r="Y139" s="6" t="n"/>
      <c r="Z139" s="6" t="n"/>
    </row>
  </sheetData>
  <mergeCells count="116">
    <mergeCell ref="H53:I53"/>
    <mergeCell ref="D32:I32"/>
    <mergeCell ref="K33:L33"/>
    <mergeCell ref="H55:I55"/>
    <mergeCell ref="B31:C31"/>
    <mergeCell ref="M31:R31"/>
    <mergeCell ref="B45:E45"/>
    <mergeCell ref="K35:L35"/>
    <mergeCell ref="M37:R37"/>
    <mergeCell ref="B47:E47"/>
    <mergeCell ref="H52:I52"/>
    <mergeCell ref="M32:R32"/>
    <mergeCell ref="B38:C38"/>
    <mergeCell ref="H45:I45"/>
    <mergeCell ref="M53:O53"/>
    <mergeCell ref="F56:G56"/>
    <mergeCell ref="M55:O55"/>
    <mergeCell ref="B33:C33"/>
    <mergeCell ref="M52:O52"/>
    <mergeCell ref="H62:I62"/>
    <mergeCell ref="D31:I31"/>
    <mergeCell ref="K37:L37"/>
    <mergeCell ref="B32:C32"/>
    <mergeCell ref="M35:R35"/>
    <mergeCell ref="B35:C35"/>
    <mergeCell ref="F57:G57"/>
    <mergeCell ref="B49:E49"/>
    <mergeCell ref="F54:G54"/>
    <mergeCell ref="H54:I54"/>
    <mergeCell ref="F63:G63"/>
    <mergeCell ref="H63:I63"/>
    <mergeCell ref="B64:E64"/>
    <mergeCell ref="H50:I50"/>
    <mergeCell ref="B51:E51"/>
    <mergeCell ref="H56:I56"/>
    <mergeCell ref="B63:E63"/>
    <mergeCell ref="B50:E50"/>
    <mergeCell ref="M33:R33"/>
    <mergeCell ref="K32:L32"/>
    <mergeCell ref="H49:I49"/>
    <mergeCell ref="F45:G45"/>
    <mergeCell ref="M57:O57"/>
    <mergeCell ref="D33:I33"/>
    <mergeCell ref="F47:G47"/>
    <mergeCell ref="F62:G62"/>
    <mergeCell ref="B37:C37"/>
    <mergeCell ref="M56:O56"/>
    <mergeCell ref="F46:G46"/>
    <mergeCell ref="D35:I35"/>
    <mergeCell ref="M58:O58"/>
    <mergeCell ref="F61:G61"/>
    <mergeCell ref="D34:I34"/>
    <mergeCell ref="B61:E61"/>
    <mergeCell ref="F48:G48"/>
    <mergeCell ref="B53:E53"/>
    <mergeCell ref="H48:I48"/>
    <mergeCell ref="D36:I36"/>
    <mergeCell ref="F64:G64"/>
    <mergeCell ref="B55:E55"/>
    <mergeCell ref="H58:I58"/>
    <mergeCell ref="M46:O46"/>
    <mergeCell ref="H60:I60"/>
    <mergeCell ref="M36:R36"/>
    <mergeCell ref="B54:E54"/>
    <mergeCell ref="M61:O61"/>
    <mergeCell ref="K31:L31"/>
    <mergeCell ref="F50:G50"/>
    <mergeCell ref="K40:L40"/>
    <mergeCell ref="M62:O62"/>
    <mergeCell ref="B56:E56"/>
    <mergeCell ref="D38:I38"/>
    <mergeCell ref="B58:E58"/>
    <mergeCell ref="B34:C34"/>
    <mergeCell ref="B52:E52"/>
    <mergeCell ref="H57:I57"/>
    <mergeCell ref="M34:R34"/>
    <mergeCell ref="B60:E60"/>
    <mergeCell ref="M59:O59"/>
    <mergeCell ref="B57:E57"/>
    <mergeCell ref="F49:G49"/>
    <mergeCell ref="M51:O51"/>
    <mergeCell ref="M60:O60"/>
    <mergeCell ref="K34:L34"/>
    <mergeCell ref="M54:O54"/>
    <mergeCell ref="M40:R40"/>
    <mergeCell ref="K36:L36"/>
    <mergeCell ref="F59:G59"/>
    <mergeCell ref="F55:G55"/>
    <mergeCell ref="H59:I59"/>
    <mergeCell ref="H46:I46"/>
    <mergeCell ref="H64:I64"/>
    <mergeCell ref="D37:I37"/>
    <mergeCell ref="F51:G51"/>
    <mergeCell ref="M45:O45"/>
    <mergeCell ref="B62:E62"/>
    <mergeCell ref="H51:I51"/>
    <mergeCell ref="B59:E59"/>
    <mergeCell ref="H61:I61"/>
    <mergeCell ref="B46:E46"/>
    <mergeCell ref="M38:R38"/>
    <mergeCell ref="M47:O47"/>
    <mergeCell ref="M63:O63"/>
    <mergeCell ref="M50:O50"/>
    <mergeCell ref="B48:E48"/>
    <mergeCell ref="H47:I47"/>
    <mergeCell ref="K39:L39"/>
    <mergeCell ref="F58:G58"/>
    <mergeCell ref="F52:G52"/>
    <mergeCell ref="M49:O49"/>
    <mergeCell ref="K38:L38"/>
    <mergeCell ref="M48:O48"/>
    <mergeCell ref="F60:G60"/>
    <mergeCell ref="B36:C36"/>
    <mergeCell ref="M39:R39"/>
    <mergeCell ref="M64:O64"/>
    <mergeCell ref="F53:G53"/>
  </mergeCells>
  <conditionalFormatting sqref="D7:D12">
    <cfRule type="cellIs" priority="1" operator="greaterThan" dxfId="0">
      <formula>0</formula>
    </cfRule>
  </conditionalFormatting>
  <conditionalFormatting sqref="E7:E12">
    <cfRule type="cellIs" priority="2" operator="greaterThan" dxfId="2">
      <formula>0</formula>
    </cfRule>
  </conditionalFormatting>
  <conditionalFormatting sqref="L7:L11">
    <cfRule type="dataBar" priority="3">
      <dataBar showValue="1">
        <cfvo type="num" val="0"/>
        <cfvo type="max"/>
        <color rgb="001F6FB2"/>
      </dataBar>
    </cfRule>
  </conditionalFormatting>
  <conditionalFormatting sqref="L14:L18">
    <cfRule type="dataBar" priority="4">
      <dataBar showValue="1">
        <cfvo type="num" val="0"/>
        <cfvo type="max"/>
        <color rgb="001F6FB2"/>
      </dataBar>
    </cfRule>
  </conditionalFormatting>
  <conditionalFormatting sqref="L21:L25">
    <cfRule type="dataBar" priority="5">
      <dataBar showValue="1">
        <cfvo type="num" val="0"/>
        <cfvo type="max"/>
        <color rgb="001F6FB2"/>
      </dataBar>
    </cfRule>
  </conditionalFormatting>
  <conditionalFormatting sqref="O7:O10">
    <cfRule type="dataBar" priority="6">
      <dataBar showValue="1">
        <cfvo type="num" val="0"/>
        <cfvo type="num" val="1"/>
        <color rgb="001F6FB2"/>
      </dataBar>
    </cfRule>
  </conditionalFormatting>
  <conditionalFormatting sqref="M45:M64">
    <cfRule type="expression" priority="7" dxfId="0">
      <formula>ISNUMBER(SEARCH("Waiting",M45))</formula>
    </cfRule>
    <cfRule type="expression" priority="8" dxfId="2">
      <formula>M45="Temporary"</formula>
    </cfRule>
    <cfRule type="expression" priority="9" dxfId="1">
      <formula>M45="Issued"</formula>
    </cfRule>
  </conditionalFormatting>
  <pageMargins left="0.75" right="0.75" top="1" bottom="1" header="0.5" footer="0.5"/>
  <pageSetup orientation="landscape" fitToHeight="0" fitToWidth="1"/>
  <drawing xmlns:r="http://schemas.openxmlformats.org/officeDocument/2006/relationships" r:id="rId1"/>
</worksheet>
</file>

<file path=xl/worksheets/sheet6.xml><?xml version="1.0" encoding="utf-8"?>
<worksheet xmlns="http://schemas.openxmlformats.org/spreadsheetml/2006/main">
  <sheetPr>
    <tabColor rgb="00D1495B"/>
    <outlinePr summaryBelow="1" summaryRight="1"/>
    <pageSetUpPr fitToPage="1"/>
  </sheetPr>
  <dimension ref="A1:AA139"/>
  <sheetViews>
    <sheetView showGridLines="0" tabSelected="0" zoomScale="90" workbookViewId="0">
      <selection activeCell="A1" sqref="A1"/>
    </sheetView>
  </sheetViews>
  <sheetFormatPr baseColWidth="8" defaultRowHeight="15"/>
  <cols>
    <col width="2" customWidth="1" min="1" max="1"/>
    <col width="46" customWidth="1" min="2" max="2"/>
    <col width="10" customWidth="1" min="3" max="3"/>
    <col width="10" customWidth="1" min="4" max="4"/>
    <col width="10"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 width="4.2" customWidth="1" min="17" max="17"/>
    <col width="4.2" customWidth="1" min="18" max="18"/>
    <col width="4.2" customWidth="1" min="19" max="19"/>
    <col width="4.2" customWidth="1" min="20" max="20"/>
    <col width="4.2" customWidth="1" min="21" max="21"/>
    <col width="4.2" customWidth="1" min="22" max="22"/>
    <col width="4.2" customWidth="1" min="23" max="23"/>
    <col width="4.2" customWidth="1" min="24" max="24"/>
    <col width="4.2" customWidth="1" min="25" max="25"/>
    <col hidden="1" width="4.2" customWidth="1" min="26" max="26"/>
    <col width="4.2" customWidth="1" min="27" max="27"/>
  </cols>
  <sheetData>
    <row r="1" ht="30" customHeight="1">
      <c r="A1" s="6" t="n"/>
      <c r="B1" s="7">
        <f>"OPS readiness – report "&amp;TEXT(DATEVALUE('Thong tin'!$A$2),"d mmm yyyy")</f>
        <v/>
      </c>
      <c r="C1" s="6" t="n"/>
      <c r="D1" s="6" t="n"/>
      <c r="E1" s="6" t="n"/>
      <c r="F1" s="6" t="n"/>
      <c r="G1" s="6" t="n"/>
      <c r="H1" s="6" t="n"/>
      <c r="I1" s="6" t="n"/>
      <c r="J1" s="6" t="n"/>
      <c r="K1" s="6" t="n"/>
      <c r="L1" s="6" t="n"/>
      <c r="M1" s="6" t="n"/>
      <c r="N1" s="6" t="n"/>
      <c r="O1" s="6" t="n"/>
      <c r="P1" s="6" t="n"/>
      <c r="Q1" s="6" t="n"/>
      <c r="R1" s="6" t="n"/>
      <c r="S1" s="6" t="n"/>
      <c r="T1" s="6" t="n"/>
      <c r="U1" s="6" t="n"/>
      <c r="V1" s="6" t="n"/>
      <c r="W1" s="6" t="n"/>
      <c r="X1" s="6" t="n"/>
      <c r="Y1" s="6" t="n"/>
      <c r="Z1" s="6" t="n"/>
    </row>
    <row r="2">
      <c r="A2" s="6" t="n"/>
      <c r="B2" s="8" t="inlineStr">
        <is>
          <t>CPP pre-commissioning plan by week. Green: done (actual finish entered) · red: in its window on the report date · blue: planned.</t>
        </is>
      </c>
      <c r="C2" s="6" t="n"/>
      <c r="D2" s="6" t="n"/>
      <c r="E2" s="6" t="n"/>
      <c r="F2" s="6" t="n"/>
      <c r="G2" s="6" t="n"/>
      <c r="H2" s="6" t="n"/>
      <c r="I2" s="6" t="n"/>
      <c r="J2" s="6" t="n"/>
      <c r="K2" s="6" t="n"/>
      <c r="L2" s="6" t="n"/>
      <c r="M2" s="6" t="n"/>
      <c r="N2" s="6" t="n"/>
      <c r="O2" s="6" t="n"/>
      <c r="P2" s="6" t="n"/>
      <c r="Q2" s="6" t="n"/>
      <c r="R2" s="6" t="n"/>
      <c r="S2" s="6" t="n"/>
      <c r="T2" s="6" t="n"/>
      <c r="U2" s="6" t="n"/>
      <c r="V2" s="6" t="n"/>
      <c r="W2" s="6" t="n"/>
      <c r="X2" s="6" t="n"/>
      <c r="Y2" s="6" t="n"/>
      <c r="Z2" s="6" t="n"/>
    </row>
    <row r="3">
      <c r="A3" s="6" t="n"/>
      <c r="B3" s="6" t="n"/>
      <c r="C3" s="6" t="n"/>
      <c r="D3" s="6" t="n"/>
      <c r="E3" s="6" t="n"/>
      <c r="F3" s="6" t="n"/>
      <c r="G3" s="6" t="n"/>
      <c r="H3" s="6" t="n"/>
      <c r="I3" s="6" t="n"/>
      <c r="J3" s="6" t="n"/>
      <c r="K3" s="6" t="n"/>
      <c r="L3" s="6" t="n"/>
      <c r="M3" s="6" t="n"/>
      <c r="N3" s="6" t="n"/>
      <c r="O3" s="6" t="n"/>
      <c r="P3" s="6" t="n"/>
      <c r="Q3" s="6" t="n"/>
      <c r="R3" s="6" t="n"/>
      <c r="S3" s="6" t="n"/>
      <c r="T3" s="6" t="n"/>
      <c r="U3" s="6" t="n"/>
      <c r="V3" s="6" t="n"/>
      <c r="W3" s="6" t="n"/>
      <c r="X3" s="6" t="n"/>
      <c r="Y3" s="6" t="n"/>
      <c r="Z3" s="6" t="n"/>
    </row>
    <row r="4">
      <c r="A4" s="6" t="n"/>
      <c r="B4" s="6" t="n"/>
      <c r="C4" s="28" t="inlineStr">
        <is>
          <t>Report date</t>
        </is>
      </c>
      <c r="D4" s="42">
        <f>DATEVALUE('Thong tin'!$A$2)</f>
        <v/>
      </c>
      <c r="E4" s="6" t="n"/>
      <c r="F4" s="6" t="n"/>
      <c r="G4" s="6" t="n"/>
      <c r="H4" s="6" t="n"/>
      <c r="I4" s="6" t="n"/>
      <c r="J4" s="6" t="n"/>
      <c r="K4" s="6" t="n"/>
      <c r="L4" s="6" t="n"/>
      <c r="M4" s="6" t="n"/>
      <c r="N4" s="6" t="n"/>
      <c r="O4" s="6" t="n"/>
      <c r="P4" s="6" t="n"/>
      <c r="Q4" s="6" t="n"/>
      <c r="R4" s="6" t="n"/>
      <c r="S4" s="6" t="n"/>
      <c r="T4" s="6" t="n"/>
      <c r="U4" s="6" t="n"/>
      <c r="V4" s="6" t="n"/>
      <c r="W4" s="6" t="n"/>
      <c r="X4" s="6" t="n"/>
      <c r="Y4" s="6" t="n"/>
      <c r="Z4" s="6" t="n"/>
    </row>
    <row r="5">
      <c r="A5" s="6" t="n"/>
      <c r="B5" s="6" t="n"/>
      <c r="C5" s="28" t="inlineStr">
        <is>
          <t>First week</t>
        </is>
      </c>
      <c r="D5" s="42">
        <f t="array" ref="D5">IF(COUNTIF('Pre-com'!$B$2:$B$300,"?*")=0,D4,MIN(IF('Pre-com'!$B$2:$B$300&lt;&gt;"",DATEVALUE('Pre-com'!$B$2:$B$300))))-WEEKDAY(IF(COUNTIF('Pre-com'!$B$2:$B$300,"?*")=0,D4,MIN(IF('Pre-com'!$B$2:$B$300&lt;&gt;"",DATEVALUE('Pre-com'!$B$2:$B$300)))),2)+1</f>
        <v/>
      </c>
      <c r="E5" s="6" t="n"/>
      <c r="F5" s="6" t="n"/>
      <c r="G5" s="6" t="n"/>
      <c r="H5" s="6" t="n"/>
      <c r="I5" s="6" t="n"/>
      <c r="J5" s="6" t="n"/>
      <c r="K5" s="6" t="n"/>
      <c r="L5" s="6" t="n"/>
      <c r="M5" s="6" t="n"/>
      <c r="N5" s="6" t="n"/>
      <c r="O5" s="6" t="n"/>
      <c r="P5" s="6" t="n"/>
      <c r="Q5" s="6" t="n"/>
      <c r="R5" s="6" t="n"/>
      <c r="S5" s="6" t="n"/>
      <c r="T5" s="6" t="n"/>
      <c r="U5" s="6" t="n"/>
      <c r="V5" s="6" t="n"/>
      <c r="W5" s="6" t="n"/>
      <c r="X5" s="6" t="n"/>
      <c r="Y5" s="6" t="n"/>
      <c r="Z5" s="6" t="n"/>
    </row>
    <row r="6" ht="48" customHeight="1">
      <c r="A6" s="6" t="n"/>
      <c r="B6" s="24" t="inlineStr">
        <is>
          <t>Activity</t>
        </is>
      </c>
      <c r="C6" s="24" t="inlineStr">
        <is>
          <t>Plan start</t>
        </is>
      </c>
      <c r="D6" s="24" t="inlineStr">
        <is>
          <t>Plan finish</t>
        </is>
      </c>
      <c r="E6" s="24" t="inlineStr">
        <is>
          <t>Actual finish</t>
        </is>
      </c>
      <c r="F6" s="43">
        <f>$D$5</f>
        <v/>
      </c>
      <c r="G6" s="43">
        <f>F6+7</f>
        <v/>
      </c>
      <c r="H6" s="43">
        <f>G6+7</f>
        <v/>
      </c>
      <c r="I6" s="43">
        <f>H6+7</f>
        <v/>
      </c>
      <c r="J6" s="43">
        <f>I6+7</f>
        <v/>
      </c>
      <c r="K6" s="43">
        <f>J6+7</f>
        <v/>
      </c>
      <c r="L6" s="43">
        <f>K6+7</f>
        <v/>
      </c>
      <c r="M6" s="43">
        <f>L6+7</f>
        <v/>
      </c>
      <c r="N6" s="43">
        <f>M6+7</f>
        <v/>
      </c>
      <c r="O6" s="43">
        <f>N6+7</f>
        <v/>
      </c>
      <c r="P6" s="43">
        <f>O6+7</f>
        <v/>
      </c>
      <c r="Q6" s="43">
        <f>P6+7</f>
        <v/>
      </c>
      <c r="R6" s="43">
        <f>Q6+7</f>
        <v/>
      </c>
      <c r="S6" s="43">
        <f>R6+7</f>
        <v/>
      </c>
      <c r="T6" s="43">
        <f>S6+7</f>
        <v/>
      </c>
      <c r="U6" s="43">
        <f>T6+7</f>
        <v/>
      </c>
      <c r="V6" s="43">
        <f>U6+7</f>
        <v/>
      </c>
      <c r="W6" s="43">
        <f>V6+7</f>
        <v/>
      </c>
      <c r="X6" s="43">
        <f>W6+7</f>
        <v/>
      </c>
      <c r="Y6" s="43">
        <f>X6+7</f>
        <v/>
      </c>
      <c r="Z6" s="43">
        <f>Y6+7</f>
        <v/>
      </c>
      <c r="AA6" s="43">
        <f>Z6+7</f>
        <v/>
      </c>
    </row>
    <row r="7" ht="26" customHeight="1">
      <c r="A7" s="6" t="n"/>
      <c r="B7" s="44">
        <f>IF(INDEX('Pre-com'!$A$2:$A$300,1)="","",INDEX('Pre-com'!$A$2:$A$300,1))</f>
        <v/>
      </c>
      <c r="C7" s="45">
        <f>IF(INDEX('Pre-com'!$B$2:$B$300,1)="","",DATEVALUE(INDEX('Pre-com'!$B$2:$B$300,1)))</f>
        <v/>
      </c>
      <c r="D7" s="45">
        <f>IF(INDEX('Pre-com'!$C$2:$C$300,1)="","",DATEVALUE(INDEX('Pre-com'!$C$2:$C$300,1)))</f>
        <v/>
      </c>
      <c r="E7" s="45">
        <f>IF(INDEX('Pre-com'!$E$2:$E$300,1)="","",DATEVALUE(INDEX('Pre-com'!$E$2:$E$300,1)))</f>
        <v/>
      </c>
      <c r="F7" s="46" t="n"/>
      <c r="G7" s="46" t="n"/>
      <c r="H7" s="46" t="n"/>
      <c r="I7" s="46" t="n"/>
      <c r="J7" s="46" t="n"/>
      <c r="K7" s="46" t="n"/>
      <c r="L7" s="46" t="n"/>
      <c r="M7" s="46" t="n"/>
      <c r="N7" s="46" t="n"/>
      <c r="O7" s="46" t="n"/>
      <c r="P7" s="46" t="n"/>
      <c r="Q7" s="46" t="n"/>
      <c r="R7" s="46" t="n"/>
      <c r="S7" s="46" t="n"/>
      <c r="T7" s="46" t="n"/>
      <c r="U7" s="46" t="n"/>
      <c r="V7" s="46" t="n"/>
      <c r="W7" s="46" t="n"/>
      <c r="X7" s="46" t="n"/>
      <c r="Y7" s="46" t="n"/>
      <c r="Z7" s="46" t="n"/>
      <c r="AA7" s="46" t="n"/>
    </row>
    <row r="8" ht="26" customHeight="1">
      <c r="A8" s="6" t="n"/>
      <c r="B8" s="44">
        <f>IF(INDEX('Pre-com'!$A$2:$A$300,2)="","",INDEX('Pre-com'!$A$2:$A$300,2))</f>
        <v/>
      </c>
      <c r="C8" s="45">
        <f>IF(INDEX('Pre-com'!$B$2:$B$300,2)="","",DATEVALUE(INDEX('Pre-com'!$B$2:$B$300,2)))</f>
        <v/>
      </c>
      <c r="D8" s="45">
        <f>IF(INDEX('Pre-com'!$C$2:$C$300,2)="","",DATEVALUE(INDEX('Pre-com'!$C$2:$C$300,2)))</f>
        <v/>
      </c>
      <c r="E8" s="45">
        <f>IF(INDEX('Pre-com'!$E$2:$E$300,2)="","",DATEVALUE(INDEX('Pre-com'!$E$2:$E$300,2)))</f>
        <v/>
      </c>
      <c r="F8" s="46" t="n"/>
      <c r="G8" s="46" t="n"/>
      <c r="H8" s="46" t="n"/>
      <c r="I8" s="46" t="n"/>
      <c r="J8" s="46" t="n"/>
      <c r="K8" s="46" t="n"/>
      <c r="L8" s="46" t="n"/>
      <c r="M8" s="46" t="n"/>
      <c r="N8" s="46" t="n"/>
      <c r="O8" s="46" t="n"/>
      <c r="P8" s="46" t="n"/>
      <c r="Q8" s="46" t="n"/>
      <c r="R8" s="46" t="n"/>
      <c r="S8" s="46" t="n"/>
      <c r="T8" s="46" t="n"/>
      <c r="U8" s="46" t="n"/>
      <c r="V8" s="46" t="n"/>
      <c r="W8" s="46" t="n"/>
      <c r="X8" s="46" t="n"/>
      <c r="Y8" s="46" t="n"/>
      <c r="Z8" s="46" t="n"/>
      <c r="AA8" s="46" t="n"/>
    </row>
    <row r="9" ht="26" customHeight="1">
      <c r="A9" s="6" t="n"/>
      <c r="B9" s="44">
        <f>IF(INDEX('Pre-com'!$A$2:$A$300,3)="","",INDEX('Pre-com'!$A$2:$A$300,3))</f>
        <v/>
      </c>
      <c r="C9" s="45">
        <f>IF(INDEX('Pre-com'!$B$2:$B$300,3)="","",DATEVALUE(INDEX('Pre-com'!$B$2:$B$300,3)))</f>
        <v/>
      </c>
      <c r="D9" s="45">
        <f>IF(INDEX('Pre-com'!$C$2:$C$300,3)="","",DATEVALUE(INDEX('Pre-com'!$C$2:$C$300,3)))</f>
        <v/>
      </c>
      <c r="E9" s="45">
        <f>IF(INDEX('Pre-com'!$E$2:$E$300,3)="","",DATEVALUE(INDEX('Pre-com'!$E$2:$E$300,3)))</f>
        <v/>
      </c>
      <c r="F9" s="46" t="n"/>
      <c r="G9" s="46" t="n"/>
      <c r="H9" s="46" t="n"/>
      <c r="I9" s="46" t="n"/>
      <c r="J9" s="46" t="n"/>
      <c r="K9" s="46" t="n"/>
      <c r="L9" s="46" t="n"/>
      <c r="M9" s="46" t="n"/>
      <c r="N9" s="46" t="n"/>
      <c r="O9" s="46" t="n"/>
      <c r="P9" s="46" t="n"/>
      <c r="Q9" s="46" t="n"/>
      <c r="R9" s="46" t="n"/>
      <c r="S9" s="46" t="n"/>
      <c r="T9" s="46" t="n"/>
      <c r="U9" s="46" t="n"/>
      <c r="V9" s="46" t="n"/>
      <c r="W9" s="46" t="n"/>
      <c r="X9" s="46" t="n"/>
      <c r="Y9" s="46" t="n"/>
      <c r="Z9" s="46" t="n"/>
      <c r="AA9" s="46" t="n"/>
    </row>
    <row r="10" ht="26" customHeight="1">
      <c r="A10" s="6" t="n"/>
      <c r="B10" s="44">
        <f>IF(INDEX('Pre-com'!$A$2:$A$300,4)="","",INDEX('Pre-com'!$A$2:$A$300,4))</f>
        <v/>
      </c>
      <c r="C10" s="45">
        <f>IF(INDEX('Pre-com'!$B$2:$B$300,4)="","",DATEVALUE(INDEX('Pre-com'!$B$2:$B$300,4)))</f>
        <v/>
      </c>
      <c r="D10" s="45">
        <f>IF(INDEX('Pre-com'!$C$2:$C$300,4)="","",DATEVALUE(INDEX('Pre-com'!$C$2:$C$300,4)))</f>
        <v/>
      </c>
      <c r="E10" s="45">
        <f>IF(INDEX('Pre-com'!$E$2:$E$300,4)="","",DATEVALUE(INDEX('Pre-com'!$E$2:$E$300,4)))</f>
        <v/>
      </c>
      <c r="F10" s="46" t="n"/>
      <c r="G10" s="46" t="n"/>
      <c r="H10" s="46" t="n"/>
      <c r="I10" s="46" t="n"/>
      <c r="J10" s="46" t="n"/>
      <c r="K10" s="46" t="n"/>
      <c r="L10" s="46" t="n"/>
      <c r="M10" s="46" t="n"/>
      <c r="N10" s="46" t="n"/>
      <c r="O10" s="46" t="n"/>
      <c r="P10" s="46" t="n"/>
      <c r="Q10" s="46" t="n"/>
      <c r="R10" s="46" t="n"/>
      <c r="S10" s="46" t="n"/>
      <c r="T10" s="46" t="n"/>
      <c r="U10" s="46" t="n"/>
      <c r="V10" s="46" t="n"/>
      <c r="W10" s="46" t="n"/>
      <c r="X10" s="46" t="n"/>
      <c r="Y10" s="46" t="n"/>
      <c r="Z10" s="46" t="n"/>
      <c r="AA10" s="46" t="n"/>
    </row>
    <row r="11" ht="26" customHeight="1">
      <c r="A11" s="6" t="n"/>
      <c r="B11" s="44">
        <f>IF(INDEX('Pre-com'!$A$2:$A$300,5)="","",INDEX('Pre-com'!$A$2:$A$300,5))</f>
        <v/>
      </c>
      <c r="C11" s="45">
        <f>IF(INDEX('Pre-com'!$B$2:$B$300,5)="","",DATEVALUE(INDEX('Pre-com'!$B$2:$B$300,5)))</f>
        <v/>
      </c>
      <c r="D11" s="45">
        <f>IF(INDEX('Pre-com'!$C$2:$C$300,5)="","",DATEVALUE(INDEX('Pre-com'!$C$2:$C$300,5)))</f>
        <v/>
      </c>
      <c r="E11" s="45">
        <f>IF(INDEX('Pre-com'!$E$2:$E$300,5)="","",DATEVALUE(INDEX('Pre-com'!$E$2:$E$300,5)))</f>
        <v/>
      </c>
      <c r="F11" s="46" t="n"/>
      <c r="G11" s="46" t="n"/>
      <c r="H11" s="46" t="n"/>
      <c r="I11" s="46" t="n"/>
      <c r="J11" s="46" t="n"/>
      <c r="K11" s="46" t="n"/>
      <c r="L11" s="46" t="n"/>
      <c r="M11" s="46" t="n"/>
      <c r="N11" s="46" t="n"/>
      <c r="O11" s="46" t="n"/>
      <c r="P11" s="46" t="n"/>
      <c r="Q11" s="46" t="n"/>
      <c r="R11" s="46" t="n"/>
      <c r="S11" s="46" t="n"/>
      <c r="T11" s="46" t="n"/>
      <c r="U11" s="46" t="n"/>
      <c r="V11" s="46" t="n"/>
      <c r="W11" s="46" t="n"/>
      <c r="X11" s="46" t="n"/>
      <c r="Y11" s="46" t="n"/>
      <c r="Z11" s="46" t="n"/>
      <c r="AA11" s="46" t="n"/>
    </row>
    <row r="12" ht="26" customHeight="1">
      <c r="A12" s="6" t="n"/>
      <c r="B12" s="44">
        <f>IF(INDEX('Pre-com'!$A$2:$A$300,6)="","",INDEX('Pre-com'!$A$2:$A$300,6))</f>
        <v/>
      </c>
      <c r="C12" s="45">
        <f>IF(INDEX('Pre-com'!$B$2:$B$300,6)="","",DATEVALUE(INDEX('Pre-com'!$B$2:$B$300,6)))</f>
        <v/>
      </c>
      <c r="D12" s="45">
        <f>IF(INDEX('Pre-com'!$C$2:$C$300,6)="","",DATEVALUE(INDEX('Pre-com'!$C$2:$C$300,6)))</f>
        <v/>
      </c>
      <c r="E12" s="45">
        <f>IF(INDEX('Pre-com'!$E$2:$E$300,6)="","",DATEVALUE(INDEX('Pre-com'!$E$2:$E$300,6)))</f>
        <v/>
      </c>
      <c r="F12" s="46" t="n"/>
      <c r="G12" s="46" t="n"/>
      <c r="H12" s="46" t="n"/>
      <c r="I12" s="46" t="n"/>
      <c r="J12" s="46" t="n"/>
      <c r="K12" s="46" t="n"/>
      <c r="L12" s="46" t="n"/>
      <c r="M12" s="46" t="n"/>
      <c r="N12" s="46" t="n"/>
      <c r="O12" s="46" t="n"/>
      <c r="P12" s="46" t="n"/>
      <c r="Q12" s="46" t="n"/>
      <c r="R12" s="46" t="n"/>
      <c r="S12" s="46" t="n"/>
      <c r="T12" s="46" t="n"/>
      <c r="U12" s="46" t="n"/>
      <c r="V12" s="46" t="n"/>
      <c r="W12" s="46" t="n"/>
      <c r="X12" s="46" t="n"/>
      <c r="Y12" s="46" t="n"/>
      <c r="Z12" s="46" t="n"/>
      <c r="AA12" s="46" t="n"/>
    </row>
    <row r="13" ht="26" customHeight="1">
      <c r="A13" s="6" t="n"/>
      <c r="B13" s="44">
        <f>IF(INDEX('Pre-com'!$A$2:$A$300,7)="","",INDEX('Pre-com'!$A$2:$A$300,7))</f>
        <v/>
      </c>
      <c r="C13" s="45">
        <f>IF(INDEX('Pre-com'!$B$2:$B$300,7)="","",DATEVALUE(INDEX('Pre-com'!$B$2:$B$300,7)))</f>
        <v/>
      </c>
      <c r="D13" s="45">
        <f>IF(INDEX('Pre-com'!$C$2:$C$300,7)="","",DATEVALUE(INDEX('Pre-com'!$C$2:$C$300,7)))</f>
        <v/>
      </c>
      <c r="E13" s="45">
        <f>IF(INDEX('Pre-com'!$E$2:$E$300,7)="","",DATEVALUE(INDEX('Pre-com'!$E$2:$E$300,7)))</f>
        <v/>
      </c>
      <c r="F13" s="46" t="n"/>
      <c r="G13" s="46" t="n"/>
      <c r="H13" s="46" t="n"/>
      <c r="I13" s="46" t="n"/>
      <c r="J13" s="46" t="n"/>
      <c r="K13" s="46" t="n"/>
      <c r="L13" s="46" t="n"/>
      <c r="M13" s="46" t="n"/>
      <c r="N13" s="46" t="n"/>
      <c r="O13" s="46" t="n"/>
      <c r="P13" s="46" t="n"/>
      <c r="Q13" s="46" t="n"/>
      <c r="R13" s="46" t="n"/>
      <c r="S13" s="46" t="n"/>
      <c r="T13" s="46" t="n"/>
      <c r="U13" s="46" t="n"/>
      <c r="V13" s="46" t="n"/>
      <c r="W13" s="46" t="n"/>
      <c r="X13" s="46" t="n"/>
      <c r="Y13" s="46" t="n"/>
      <c r="Z13" s="46" t="n"/>
      <c r="AA13" s="46" t="n"/>
    </row>
    <row r="14" ht="26" customHeight="1">
      <c r="A14" s="6" t="n"/>
      <c r="B14" s="44">
        <f>IF(INDEX('Pre-com'!$A$2:$A$300,8)="","",INDEX('Pre-com'!$A$2:$A$300,8))</f>
        <v/>
      </c>
      <c r="C14" s="45">
        <f>IF(INDEX('Pre-com'!$B$2:$B$300,8)="","",DATEVALUE(INDEX('Pre-com'!$B$2:$B$300,8)))</f>
        <v/>
      </c>
      <c r="D14" s="45">
        <f>IF(INDEX('Pre-com'!$C$2:$C$300,8)="","",DATEVALUE(INDEX('Pre-com'!$C$2:$C$300,8)))</f>
        <v/>
      </c>
      <c r="E14" s="45">
        <f>IF(INDEX('Pre-com'!$E$2:$E$300,8)="","",DATEVALUE(INDEX('Pre-com'!$E$2:$E$300,8)))</f>
        <v/>
      </c>
      <c r="F14" s="46" t="n"/>
      <c r="G14" s="46" t="n"/>
      <c r="H14" s="46" t="n"/>
      <c r="I14" s="46" t="n"/>
      <c r="J14" s="46" t="n"/>
      <c r="K14" s="46" t="n"/>
      <c r="L14" s="46" t="n"/>
      <c r="M14" s="46" t="n"/>
      <c r="N14" s="46" t="n"/>
      <c r="O14" s="46" t="n"/>
      <c r="P14" s="46" t="n"/>
      <c r="Q14" s="46" t="n"/>
      <c r="R14" s="46" t="n"/>
      <c r="S14" s="46" t="n"/>
      <c r="T14" s="46" t="n"/>
      <c r="U14" s="46" t="n"/>
      <c r="V14" s="46" t="n"/>
      <c r="W14" s="46" t="n"/>
      <c r="X14" s="46" t="n"/>
      <c r="Y14" s="46" t="n"/>
      <c r="Z14" s="46" t="n"/>
      <c r="AA14" s="46" t="n"/>
    </row>
    <row r="15" ht="26" customHeight="1">
      <c r="A15" s="6" t="n"/>
      <c r="B15" s="44">
        <f>IF(INDEX('Pre-com'!$A$2:$A$300,9)="","",INDEX('Pre-com'!$A$2:$A$300,9))</f>
        <v/>
      </c>
      <c r="C15" s="45">
        <f>IF(INDEX('Pre-com'!$B$2:$B$300,9)="","",DATEVALUE(INDEX('Pre-com'!$B$2:$B$300,9)))</f>
        <v/>
      </c>
      <c r="D15" s="45">
        <f>IF(INDEX('Pre-com'!$C$2:$C$300,9)="","",DATEVALUE(INDEX('Pre-com'!$C$2:$C$300,9)))</f>
        <v/>
      </c>
      <c r="E15" s="45">
        <f>IF(INDEX('Pre-com'!$E$2:$E$300,9)="","",DATEVALUE(INDEX('Pre-com'!$E$2:$E$300,9)))</f>
        <v/>
      </c>
      <c r="F15" s="46" t="n"/>
      <c r="G15" s="46" t="n"/>
      <c r="H15" s="46" t="n"/>
      <c r="I15" s="46" t="n"/>
      <c r="J15" s="46" t="n"/>
      <c r="K15" s="46" t="n"/>
      <c r="L15" s="46" t="n"/>
      <c r="M15" s="46" t="n"/>
      <c r="N15" s="46" t="n"/>
      <c r="O15" s="46" t="n"/>
      <c r="P15" s="46" t="n"/>
      <c r="Q15" s="46" t="n"/>
      <c r="R15" s="46" t="n"/>
      <c r="S15" s="46" t="n"/>
      <c r="T15" s="46" t="n"/>
      <c r="U15" s="46" t="n"/>
      <c r="V15" s="46" t="n"/>
      <c r="W15" s="46" t="n"/>
      <c r="X15" s="46" t="n"/>
      <c r="Y15" s="46" t="n"/>
      <c r="Z15" s="46" t="n"/>
      <c r="AA15" s="46" t="n"/>
    </row>
    <row r="16" ht="26" customHeight="1">
      <c r="A16" s="6" t="n"/>
      <c r="B16" s="44">
        <f>IF(INDEX('Pre-com'!$A$2:$A$300,10)="","",INDEX('Pre-com'!$A$2:$A$300,10))</f>
        <v/>
      </c>
      <c r="C16" s="45">
        <f>IF(INDEX('Pre-com'!$B$2:$B$300,10)="","",DATEVALUE(INDEX('Pre-com'!$B$2:$B$300,10)))</f>
        <v/>
      </c>
      <c r="D16" s="45">
        <f>IF(INDEX('Pre-com'!$C$2:$C$300,10)="","",DATEVALUE(INDEX('Pre-com'!$C$2:$C$300,10)))</f>
        <v/>
      </c>
      <c r="E16" s="45">
        <f>IF(INDEX('Pre-com'!$E$2:$E$300,10)="","",DATEVALUE(INDEX('Pre-com'!$E$2:$E$300,10)))</f>
        <v/>
      </c>
      <c r="F16" s="46" t="n"/>
      <c r="G16" s="46" t="n"/>
      <c r="H16" s="46" t="n"/>
      <c r="I16" s="46" t="n"/>
      <c r="J16" s="46" t="n"/>
      <c r="K16" s="46" t="n"/>
      <c r="L16" s="46" t="n"/>
      <c r="M16" s="46" t="n"/>
      <c r="N16" s="46" t="n"/>
      <c r="O16" s="46" t="n"/>
      <c r="P16" s="46" t="n"/>
      <c r="Q16" s="46" t="n"/>
      <c r="R16" s="46" t="n"/>
      <c r="S16" s="46" t="n"/>
      <c r="T16" s="46" t="n"/>
      <c r="U16" s="46" t="n"/>
      <c r="V16" s="46" t="n"/>
      <c r="W16" s="46" t="n"/>
      <c r="X16" s="46" t="n"/>
      <c r="Y16" s="46" t="n"/>
      <c r="Z16" s="46" t="n"/>
      <c r="AA16" s="46" t="n"/>
    </row>
    <row r="17" ht="26" customHeight="1">
      <c r="A17" s="6" t="n"/>
      <c r="B17" s="44">
        <f>IF(INDEX('Pre-com'!$A$2:$A$300,11)="","",INDEX('Pre-com'!$A$2:$A$300,11))</f>
        <v/>
      </c>
      <c r="C17" s="45">
        <f>IF(INDEX('Pre-com'!$B$2:$B$300,11)="","",DATEVALUE(INDEX('Pre-com'!$B$2:$B$300,11)))</f>
        <v/>
      </c>
      <c r="D17" s="45">
        <f>IF(INDEX('Pre-com'!$C$2:$C$300,11)="","",DATEVALUE(INDEX('Pre-com'!$C$2:$C$300,11)))</f>
        <v/>
      </c>
      <c r="E17" s="45">
        <f>IF(INDEX('Pre-com'!$E$2:$E$300,11)="","",DATEVALUE(INDEX('Pre-com'!$E$2:$E$300,11)))</f>
        <v/>
      </c>
      <c r="F17" s="46" t="n"/>
      <c r="G17" s="46" t="n"/>
      <c r="H17" s="46" t="n"/>
      <c r="I17" s="46" t="n"/>
      <c r="J17" s="46" t="n"/>
      <c r="K17" s="46" t="n"/>
      <c r="L17" s="46" t="n"/>
      <c r="M17" s="46" t="n"/>
      <c r="N17" s="46" t="n"/>
      <c r="O17" s="46" t="n"/>
      <c r="P17" s="46" t="n"/>
      <c r="Q17" s="46" t="n"/>
      <c r="R17" s="46" t="n"/>
      <c r="S17" s="46" t="n"/>
      <c r="T17" s="46" t="n"/>
      <c r="U17" s="46" t="n"/>
      <c r="V17" s="46" t="n"/>
      <c r="W17" s="46" t="n"/>
      <c r="X17" s="46" t="n"/>
      <c r="Y17" s="46" t="n"/>
      <c r="Z17" s="46" t="n"/>
      <c r="AA17" s="46" t="n"/>
    </row>
    <row r="18" ht="26" customHeight="1">
      <c r="A18" s="6" t="n"/>
      <c r="B18" s="44">
        <f>IF(INDEX('Pre-com'!$A$2:$A$300,12)="","",INDEX('Pre-com'!$A$2:$A$300,12))</f>
        <v/>
      </c>
      <c r="C18" s="45">
        <f>IF(INDEX('Pre-com'!$B$2:$B$300,12)="","",DATEVALUE(INDEX('Pre-com'!$B$2:$B$300,12)))</f>
        <v/>
      </c>
      <c r="D18" s="45">
        <f>IF(INDEX('Pre-com'!$C$2:$C$300,12)="","",DATEVALUE(INDEX('Pre-com'!$C$2:$C$300,12)))</f>
        <v/>
      </c>
      <c r="E18" s="45">
        <f>IF(INDEX('Pre-com'!$E$2:$E$300,12)="","",DATEVALUE(INDEX('Pre-com'!$E$2:$E$300,12)))</f>
        <v/>
      </c>
      <c r="F18" s="46" t="n"/>
      <c r="G18" s="46" t="n"/>
      <c r="H18" s="46" t="n"/>
      <c r="I18" s="46" t="n"/>
      <c r="J18" s="46" t="n"/>
      <c r="K18" s="46" t="n"/>
      <c r="L18" s="46" t="n"/>
      <c r="M18" s="46" t="n"/>
      <c r="N18" s="46" t="n"/>
      <c r="O18" s="46" t="n"/>
      <c r="P18" s="46" t="n"/>
      <c r="Q18" s="46" t="n"/>
      <c r="R18" s="46" t="n"/>
      <c r="S18" s="46" t="n"/>
      <c r="T18" s="46" t="n"/>
      <c r="U18" s="46" t="n"/>
      <c r="V18" s="46" t="n"/>
      <c r="W18" s="46" t="n"/>
      <c r="X18" s="46" t="n"/>
      <c r="Y18" s="46" t="n"/>
      <c r="Z18" s="46" t="n"/>
      <c r="AA18" s="46" t="n"/>
    </row>
    <row r="19" ht="26" customHeight="1">
      <c r="A19" s="6" t="n"/>
      <c r="B19" s="44">
        <f>IF(INDEX('Pre-com'!$A$2:$A$300,13)="","",INDEX('Pre-com'!$A$2:$A$300,13))</f>
        <v/>
      </c>
      <c r="C19" s="45">
        <f>IF(INDEX('Pre-com'!$B$2:$B$300,13)="","",DATEVALUE(INDEX('Pre-com'!$B$2:$B$300,13)))</f>
        <v/>
      </c>
      <c r="D19" s="45">
        <f>IF(INDEX('Pre-com'!$C$2:$C$300,13)="","",DATEVALUE(INDEX('Pre-com'!$C$2:$C$300,13)))</f>
        <v/>
      </c>
      <c r="E19" s="45">
        <f>IF(INDEX('Pre-com'!$E$2:$E$300,13)="","",DATEVALUE(INDEX('Pre-com'!$E$2:$E$300,13)))</f>
        <v/>
      </c>
      <c r="F19" s="46" t="n"/>
      <c r="G19" s="46" t="n"/>
      <c r="H19" s="46" t="n"/>
      <c r="I19" s="46" t="n"/>
      <c r="J19" s="46" t="n"/>
      <c r="K19" s="46" t="n"/>
      <c r="L19" s="46" t="n"/>
      <c r="M19" s="46" t="n"/>
      <c r="N19" s="46" t="n"/>
      <c r="O19" s="46" t="n"/>
      <c r="P19" s="46" t="n"/>
      <c r="Q19" s="46" t="n"/>
      <c r="R19" s="46" t="n"/>
      <c r="S19" s="46" t="n"/>
      <c r="T19" s="46" t="n"/>
      <c r="U19" s="46" t="n"/>
      <c r="V19" s="46" t="n"/>
      <c r="W19" s="46" t="n"/>
      <c r="X19" s="46" t="n"/>
      <c r="Y19" s="46" t="n"/>
      <c r="Z19" s="46" t="n"/>
      <c r="AA19" s="46" t="n"/>
    </row>
    <row r="20" ht="26" customHeight="1">
      <c r="A20" s="6" t="n"/>
      <c r="B20" s="44">
        <f>IF(INDEX('Pre-com'!$A$2:$A$300,14)="","",INDEX('Pre-com'!$A$2:$A$300,14))</f>
        <v/>
      </c>
      <c r="C20" s="45">
        <f>IF(INDEX('Pre-com'!$B$2:$B$300,14)="","",DATEVALUE(INDEX('Pre-com'!$B$2:$B$300,14)))</f>
        <v/>
      </c>
      <c r="D20" s="45">
        <f>IF(INDEX('Pre-com'!$C$2:$C$300,14)="","",DATEVALUE(INDEX('Pre-com'!$C$2:$C$300,14)))</f>
        <v/>
      </c>
      <c r="E20" s="45">
        <f>IF(INDEX('Pre-com'!$E$2:$E$300,14)="","",DATEVALUE(INDEX('Pre-com'!$E$2:$E$300,14)))</f>
        <v/>
      </c>
      <c r="F20" s="46" t="n"/>
      <c r="G20" s="46" t="n"/>
      <c r="H20" s="46" t="n"/>
      <c r="I20" s="46" t="n"/>
      <c r="J20" s="46" t="n"/>
      <c r="K20" s="46" t="n"/>
      <c r="L20" s="46" t="n"/>
      <c r="M20" s="46" t="n"/>
      <c r="N20" s="46" t="n"/>
      <c r="O20" s="46" t="n"/>
      <c r="P20" s="46" t="n"/>
      <c r="Q20" s="46" t="n"/>
      <c r="R20" s="46" t="n"/>
      <c r="S20" s="46" t="n"/>
      <c r="T20" s="46" t="n"/>
      <c r="U20" s="46" t="n"/>
      <c r="V20" s="46" t="n"/>
      <c r="W20" s="46" t="n"/>
      <c r="X20" s="46" t="n"/>
      <c r="Y20" s="46" t="n"/>
      <c r="Z20" s="46" t="n"/>
      <c r="AA20" s="46" t="n"/>
    </row>
    <row r="21" ht="26" customHeight="1">
      <c r="A21" s="6" t="n"/>
      <c r="B21" s="44">
        <f>IF(INDEX('Pre-com'!$A$2:$A$300,15)="","",INDEX('Pre-com'!$A$2:$A$300,15))</f>
        <v/>
      </c>
      <c r="C21" s="45">
        <f>IF(INDEX('Pre-com'!$B$2:$B$300,15)="","",DATEVALUE(INDEX('Pre-com'!$B$2:$B$300,15)))</f>
        <v/>
      </c>
      <c r="D21" s="45">
        <f>IF(INDEX('Pre-com'!$C$2:$C$300,15)="","",DATEVALUE(INDEX('Pre-com'!$C$2:$C$300,15)))</f>
        <v/>
      </c>
      <c r="E21" s="45">
        <f>IF(INDEX('Pre-com'!$E$2:$E$300,15)="","",DATEVALUE(INDEX('Pre-com'!$E$2:$E$300,15)))</f>
        <v/>
      </c>
      <c r="F21" s="46" t="n"/>
      <c r="G21" s="46" t="n"/>
      <c r="H21" s="46" t="n"/>
      <c r="I21" s="46" t="n"/>
      <c r="J21" s="46" t="n"/>
      <c r="K21" s="46" t="n"/>
      <c r="L21" s="46" t="n"/>
      <c r="M21" s="46" t="n"/>
      <c r="N21" s="46" t="n"/>
      <c r="O21" s="46" t="n"/>
      <c r="P21" s="46" t="n"/>
      <c r="Q21" s="46" t="n"/>
      <c r="R21" s="46" t="n"/>
      <c r="S21" s="46" t="n"/>
      <c r="T21" s="46" t="n"/>
      <c r="U21" s="46" t="n"/>
      <c r="V21" s="46" t="n"/>
      <c r="W21" s="46" t="n"/>
      <c r="X21" s="46" t="n"/>
      <c r="Y21" s="46" t="n"/>
      <c r="Z21" s="46" t="n"/>
      <c r="AA21" s="46" t="n"/>
    </row>
    <row r="22" ht="26" customHeight="1">
      <c r="A22" s="6" t="n"/>
      <c r="B22" s="44">
        <f>IF(INDEX('Pre-com'!$A$2:$A$300,16)="","",INDEX('Pre-com'!$A$2:$A$300,16))</f>
        <v/>
      </c>
      <c r="C22" s="45">
        <f>IF(INDEX('Pre-com'!$B$2:$B$300,16)="","",DATEVALUE(INDEX('Pre-com'!$B$2:$B$300,16)))</f>
        <v/>
      </c>
      <c r="D22" s="45">
        <f>IF(INDEX('Pre-com'!$C$2:$C$300,16)="","",DATEVALUE(INDEX('Pre-com'!$C$2:$C$300,16)))</f>
        <v/>
      </c>
      <c r="E22" s="45">
        <f>IF(INDEX('Pre-com'!$E$2:$E$300,16)="","",DATEVALUE(INDEX('Pre-com'!$E$2:$E$300,16)))</f>
        <v/>
      </c>
      <c r="F22" s="46" t="n"/>
      <c r="G22" s="46" t="n"/>
      <c r="H22" s="46" t="n"/>
      <c r="I22" s="46" t="n"/>
      <c r="J22" s="46" t="n"/>
      <c r="K22" s="46" t="n"/>
      <c r="L22" s="46" t="n"/>
      <c r="M22" s="46" t="n"/>
      <c r="N22" s="46" t="n"/>
      <c r="O22" s="46" t="n"/>
      <c r="P22" s="46" t="n"/>
      <c r="Q22" s="46" t="n"/>
      <c r="R22" s="46" t="n"/>
      <c r="S22" s="46" t="n"/>
      <c r="T22" s="46" t="n"/>
      <c r="U22" s="46" t="n"/>
      <c r="V22" s="46" t="n"/>
      <c r="W22" s="46" t="n"/>
      <c r="X22" s="46" t="n"/>
      <c r="Y22" s="46" t="n"/>
      <c r="Z22" s="46" t="n"/>
      <c r="AA22" s="46" t="n"/>
    </row>
    <row r="23" ht="26" customHeight="1">
      <c r="A23" s="6" t="n"/>
      <c r="B23" s="44">
        <f>IF(INDEX('Pre-com'!$A$2:$A$300,17)="","",INDEX('Pre-com'!$A$2:$A$300,17))</f>
        <v/>
      </c>
      <c r="C23" s="45">
        <f>IF(INDEX('Pre-com'!$B$2:$B$300,17)="","",DATEVALUE(INDEX('Pre-com'!$B$2:$B$300,17)))</f>
        <v/>
      </c>
      <c r="D23" s="45">
        <f>IF(INDEX('Pre-com'!$C$2:$C$300,17)="","",DATEVALUE(INDEX('Pre-com'!$C$2:$C$300,17)))</f>
        <v/>
      </c>
      <c r="E23" s="45">
        <f>IF(INDEX('Pre-com'!$E$2:$E$300,17)="","",DATEVALUE(INDEX('Pre-com'!$E$2:$E$300,17)))</f>
        <v/>
      </c>
      <c r="F23" s="46" t="n"/>
      <c r="G23" s="46" t="n"/>
      <c r="H23" s="46" t="n"/>
      <c r="I23" s="46" t="n"/>
      <c r="J23" s="46" t="n"/>
      <c r="K23" s="46" t="n"/>
      <c r="L23" s="46" t="n"/>
      <c r="M23" s="46" t="n"/>
      <c r="N23" s="46" t="n"/>
      <c r="O23" s="46" t="n"/>
      <c r="P23" s="46" t="n"/>
      <c r="Q23" s="46" t="n"/>
      <c r="R23" s="46" t="n"/>
      <c r="S23" s="46" t="n"/>
      <c r="T23" s="46" t="n"/>
      <c r="U23" s="46" t="n"/>
      <c r="V23" s="46" t="n"/>
      <c r="W23" s="46" t="n"/>
      <c r="X23" s="46" t="n"/>
      <c r="Y23" s="46" t="n"/>
      <c r="Z23" s="46" t="n"/>
      <c r="AA23" s="46" t="n"/>
    </row>
    <row r="24" ht="26" customHeight="1">
      <c r="A24" s="6" t="n"/>
      <c r="B24" s="44">
        <f>IF(INDEX('Pre-com'!$A$2:$A$300,18)="","",INDEX('Pre-com'!$A$2:$A$300,18))</f>
        <v/>
      </c>
      <c r="C24" s="45">
        <f>IF(INDEX('Pre-com'!$B$2:$B$300,18)="","",DATEVALUE(INDEX('Pre-com'!$B$2:$B$300,18)))</f>
        <v/>
      </c>
      <c r="D24" s="45">
        <f>IF(INDEX('Pre-com'!$C$2:$C$300,18)="","",DATEVALUE(INDEX('Pre-com'!$C$2:$C$300,18)))</f>
        <v/>
      </c>
      <c r="E24" s="45">
        <f>IF(INDEX('Pre-com'!$E$2:$E$300,18)="","",DATEVALUE(INDEX('Pre-com'!$E$2:$E$300,18)))</f>
        <v/>
      </c>
      <c r="F24" s="46" t="n"/>
      <c r="G24" s="46" t="n"/>
      <c r="H24" s="46" t="n"/>
      <c r="I24" s="46" t="n"/>
      <c r="J24" s="46" t="n"/>
      <c r="K24" s="46" t="n"/>
      <c r="L24" s="46" t="n"/>
      <c r="M24" s="46" t="n"/>
      <c r="N24" s="46" t="n"/>
      <c r="O24" s="46" t="n"/>
      <c r="P24" s="46" t="n"/>
      <c r="Q24" s="46" t="n"/>
      <c r="R24" s="46" t="n"/>
      <c r="S24" s="46" t="n"/>
      <c r="T24" s="46" t="n"/>
      <c r="U24" s="46" t="n"/>
      <c r="V24" s="46" t="n"/>
      <c r="W24" s="46" t="n"/>
      <c r="X24" s="46" t="n"/>
      <c r="Y24" s="46" t="n"/>
      <c r="Z24" s="46" t="n"/>
      <c r="AA24" s="46" t="n"/>
    </row>
    <row r="25" ht="26" customHeight="1">
      <c r="A25" s="6" t="n"/>
      <c r="B25" s="44">
        <f>IF(INDEX('Pre-com'!$A$2:$A$300,19)="","",INDEX('Pre-com'!$A$2:$A$300,19))</f>
        <v/>
      </c>
      <c r="C25" s="45">
        <f>IF(INDEX('Pre-com'!$B$2:$B$300,19)="","",DATEVALUE(INDEX('Pre-com'!$B$2:$B$300,19)))</f>
        <v/>
      </c>
      <c r="D25" s="45">
        <f>IF(INDEX('Pre-com'!$C$2:$C$300,19)="","",DATEVALUE(INDEX('Pre-com'!$C$2:$C$300,19)))</f>
        <v/>
      </c>
      <c r="E25" s="45">
        <f>IF(INDEX('Pre-com'!$E$2:$E$300,19)="","",DATEVALUE(INDEX('Pre-com'!$E$2:$E$300,19)))</f>
        <v/>
      </c>
      <c r="F25" s="46" t="n"/>
      <c r="G25" s="46" t="n"/>
      <c r="H25" s="46" t="n"/>
      <c r="I25" s="46" t="n"/>
      <c r="J25" s="46" t="n"/>
      <c r="K25" s="46" t="n"/>
      <c r="L25" s="46" t="n"/>
      <c r="M25" s="46" t="n"/>
      <c r="N25" s="46" t="n"/>
      <c r="O25" s="46" t="n"/>
      <c r="P25" s="46" t="n"/>
      <c r="Q25" s="46" t="n"/>
      <c r="R25" s="46" t="n"/>
      <c r="S25" s="46" t="n"/>
      <c r="T25" s="46" t="n"/>
      <c r="U25" s="46" t="n"/>
      <c r="V25" s="46" t="n"/>
      <c r="W25" s="46" t="n"/>
      <c r="X25" s="46" t="n"/>
      <c r="Y25" s="46" t="n"/>
      <c r="Z25" s="46" t="n"/>
      <c r="AA25" s="46" t="n"/>
    </row>
    <row r="26" ht="26" customHeight="1">
      <c r="A26" s="6" t="n"/>
      <c r="B26" s="44">
        <f>IF(INDEX('Pre-com'!$A$2:$A$300,20)="","",INDEX('Pre-com'!$A$2:$A$300,20))</f>
        <v/>
      </c>
      <c r="C26" s="45">
        <f>IF(INDEX('Pre-com'!$B$2:$B$300,20)="","",DATEVALUE(INDEX('Pre-com'!$B$2:$B$300,20)))</f>
        <v/>
      </c>
      <c r="D26" s="45">
        <f>IF(INDEX('Pre-com'!$C$2:$C$300,20)="","",DATEVALUE(INDEX('Pre-com'!$C$2:$C$300,20)))</f>
        <v/>
      </c>
      <c r="E26" s="45">
        <f>IF(INDEX('Pre-com'!$E$2:$E$300,20)="","",DATEVALUE(INDEX('Pre-com'!$E$2:$E$300,20)))</f>
        <v/>
      </c>
      <c r="F26" s="46" t="n"/>
      <c r="G26" s="46" t="n"/>
      <c r="H26" s="46" t="n"/>
      <c r="I26" s="46" t="n"/>
      <c r="J26" s="46" t="n"/>
      <c r="K26" s="46" t="n"/>
      <c r="L26" s="46" t="n"/>
      <c r="M26" s="46" t="n"/>
      <c r="N26" s="46" t="n"/>
      <c r="O26" s="46" t="n"/>
      <c r="P26" s="46" t="n"/>
      <c r="Q26" s="46" t="n"/>
      <c r="R26" s="46" t="n"/>
      <c r="S26" s="46" t="n"/>
      <c r="T26" s="46" t="n"/>
      <c r="U26" s="46" t="n"/>
      <c r="V26" s="46" t="n"/>
      <c r="W26" s="46" t="n"/>
      <c r="X26" s="46" t="n"/>
      <c r="Y26" s="46" t="n"/>
      <c r="Z26" s="46" t="n"/>
      <c r="AA26" s="46" t="n"/>
    </row>
    <row r="27" ht="26" customHeight="1">
      <c r="A27" s="6" t="n"/>
      <c r="B27" s="44">
        <f>IF(INDEX('Pre-com'!$A$2:$A$300,21)="","",INDEX('Pre-com'!$A$2:$A$300,21))</f>
        <v/>
      </c>
      <c r="C27" s="45">
        <f>IF(INDEX('Pre-com'!$B$2:$B$300,21)="","",DATEVALUE(INDEX('Pre-com'!$B$2:$B$300,21)))</f>
        <v/>
      </c>
      <c r="D27" s="45">
        <f>IF(INDEX('Pre-com'!$C$2:$C$300,21)="","",DATEVALUE(INDEX('Pre-com'!$C$2:$C$300,21)))</f>
        <v/>
      </c>
      <c r="E27" s="45">
        <f>IF(INDEX('Pre-com'!$E$2:$E$300,21)="","",DATEVALUE(INDEX('Pre-com'!$E$2:$E$300,21)))</f>
        <v/>
      </c>
      <c r="F27" s="46" t="n"/>
      <c r="G27" s="46" t="n"/>
      <c r="H27" s="46" t="n"/>
      <c r="I27" s="46" t="n"/>
      <c r="J27" s="46" t="n"/>
      <c r="K27" s="46" t="n"/>
      <c r="L27" s="46" t="n"/>
      <c r="M27" s="46" t="n"/>
      <c r="N27" s="46" t="n"/>
      <c r="O27" s="46" t="n"/>
      <c r="P27" s="46" t="n"/>
      <c r="Q27" s="46" t="n"/>
      <c r="R27" s="46" t="n"/>
      <c r="S27" s="46" t="n"/>
      <c r="T27" s="46" t="n"/>
      <c r="U27" s="46" t="n"/>
      <c r="V27" s="46" t="n"/>
      <c r="W27" s="46" t="n"/>
      <c r="X27" s="46" t="n"/>
      <c r="Y27" s="46" t="n"/>
      <c r="Z27" s="46" t="n"/>
      <c r="AA27" s="46" t="n"/>
    </row>
    <row r="28" ht="26" customHeight="1">
      <c r="A28" s="6" t="n"/>
      <c r="B28" s="44">
        <f>IF(INDEX('Pre-com'!$A$2:$A$300,22)="","",INDEX('Pre-com'!$A$2:$A$300,22))</f>
        <v/>
      </c>
      <c r="C28" s="45">
        <f>IF(INDEX('Pre-com'!$B$2:$B$300,22)="","",DATEVALUE(INDEX('Pre-com'!$B$2:$B$300,22)))</f>
        <v/>
      </c>
      <c r="D28" s="45">
        <f>IF(INDEX('Pre-com'!$C$2:$C$300,22)="","",DATEVALUE(INDEX('Pre-com'!$C$2:$C$300,22)))</f>
        <v/>
      </c>
      <c r="E28" s="45">
        <f>IF(INDEX('Pre-com'!$E$2:$E$300,22)="","",DATEVALUE(INDEX('Pre-com'!$E$2:$E$300,22)))</f>
        <v/>
      </c>
      <c r="F28" s="46" t="n"/>
      <c r="G28" s="46" t="n"/>
      <c r="H28" s="46" t="n"/>
      <c r="I28" s="46" t="n"/>
      <c r="J28" s="46" t="n"/>
      <c r="K28" s="46" t="n"/>
      <c r="L28" s="46" t="n"/>
      <c r="M28" s="46" t="n"/>
      <c r="N28" s="46" t="n"/>
      <c r="O28" s="46" t="n"/>
      <c r="P28" s="46" t="n"/>
      <c r="Q28" s="46" t="n"/>
      <c r="R28" s="46" t="n"/>
      <c r="S28" s="46" t="n"/>
      <c r="T28" s="46" t="n"/>
      <c r="U28" s="46" t="n"/>
      <c r="V28" s="46" t="n"/>
      <c r="W28" s="46" t="n"/>
      <c r="X28" s="46" t="n"/>
      <c r="Y28" s="46" t="n"/>
      <c r="Z28" s="46" t="n"/>
      <c r="AA28" s="46" t="n"/>
    </row>
    <row r="29" ht="26" customHeight="1">
      <c r="A29" s="6" t="n"/>
      <c r="B29" s="44">
        <f>IF(INDEX('Pre-com'!$A$2:$A$300,23)="","",INDEX('Pre-com'!$A$2:$A$300,23))</f>
        <v/>
      </c>
      <c r="C29" s="45">
        <f>IF(INDEX('Pre-com'!$B$2:$B$300,23)="","",DATEVALUE(INDEX('Pre-com'!$B$2:$B$300,23)))</f>
        <v/>
      </c>
      <c r="D29" s="45">
        <f>IF(INDEX('Pre-com'!$C$2:$C$300,23)="","",DATEVALUE(INDEX('Pre-com'!$C$2:$C$300,23)))</f>
        <v/>
      </c>
      <c r="E29" s="45">
        <f>IF(INDEX('Pre-com'!$E$2:$E$300,23)="","",DATEVALUE(INDEX('Pre-com'!$E$2:$E$300,23)))</f>
        <v/>
      </c>
      <c r="F29" s="46" t="n"/>
      <c r="G29" s="46" t="n"/>
      <c r="H29" s="46" t="n"/>
      <c r="I29" s="46" t="n"/>
      <c r="J29" s="46" t="n"/>
      <c r="K29" s="46" t="n"/>
      <c r="L29" s="46" t="n"/>
      <c r="M29" s="46" t="n"/>
      <c r="N29" s="46" t="n"/>
      <c r="O29" s="46" t="n"/>
      <c r="P29" s="46" t="n"/>
      <c r="Q29" s="46" t="n"/>
      <c r="R29" s="46" t="n"/>
      <c r="S29" s="46" t="n"/>
      <c r="T29" s="46" t="n"/>
      <c r="U29" s="46" t="n"/>
      <c r="V29" s="46" t="n"/>
      <c r="W29" s="46" t="n"/>
      <c r="X29" s="46" t="n"/>
      <c r="Y29" s="46" t="n"/>
      <c r="Z29" s="46" t="n"/>
      <c r="AA29" s="46" t="n"/>
    </row>
    <row r="30" ht="26" customHeight="1">
      <c r="A30" s="6" t="n"/>
      <c r="B30" s="44">
        <f>IF(INDEX('Pre-com'!$A$2:$A$300,24)="","",INDEX('Pre-com'!$A$2:$A$300,24))</f>
        <v/>
      </c>
      <c r="C30" s="45">
        <f>IF(INDEX('Pre-com'!$B$2:$B$300,24)="","",DATEVALUE(INDEX('Pre-com'!$B$2:$B$300,24)))</f>
        <v/>
      </c>
      <c r="D30" s="45">
        <f>IF(INDEX('Pre-com'!$C$2:$C$300,24)="","",DATEVALUE(INDEX('Pre-com'!$C$2:$C$300,24)))</f>
        <v/>
      </c>
      <c r="E30" s="45">
        <f>IF(INDEX('Pre-com'!$E$2:$E$300,24)="","",DATEVALUE(INDEX('Pre-com'!$E$2:$E$300,24)))</f>
        <v/>
      </c>
      <c r="F30" s="46" t="n"/>
      <c r="G30" s="46" t="n"/>
      <c r="H30" s="46" t="n"/>
      <c r="I30" s="46" t="n"/>
      <c r="J30" s="46" t="n"/>
      <c r="K30" s="46" t="n"/>
      <c r="L30" s="46" t="n"/>
      <c r="M30" s="46" t="n"/>
      <c r="N30" s="46" t="n"/>
      <c r="O30" s="46" t="n"/>
      <c r="P30" s="46" t="n"/>
      <c r="Q30" s="46" t="n"/>
      <c r="R30" s="46" t="n"/>
      <c r="S30" s="46" t="n"/>
      <c r="T30" s="46" t="n"/>
      <c r="U30" s="46" t="n"/>
      <c r="V30" s="46" t="n"/>
      <c r="W30" s="46" t="n"/>
      <c r="X30" s="46" t="n"/>
      <c r="Y30" s="46" t="n"/>
      <c r="Z30" s="46" t="n"/>
      <c r="AA30" s="46" t="n"/>
    </row>
    <row r="31" ht="26" customHeight="1">
      <c r="A31" s="6" t="n"/>
      <c r="B31" s="44">
        <f>IF(INDEX('Pre-com'!$A$2:$A$300,25)="","",INDEX('Pre-com'!$A$2:$A$300,25))</f>
        <v/>
      </c>
      <c r="C31" s="45">
        <f>IF(INDEX('Pre-com'!$B$2:$B$300,25)="","",DATEVALUE(INDEX('Pre-com'!$B$2:$B$300,25)))</f>
        <v/>
      </c>
      <c r="D31" s="45">
        <f>IF(INDEX('Pre-com'!$C$2:$C$300,25)="","",DATEVALUE(INDEX('Pre-com'!$C$2:$C$300,25)))</f>
        <v/>
      </c>
      <c r="E31" s="45">
        <f>IF(INDEX('Pre-com'!$E$2:$E$300,25)="","",DATEVALUE(INDEX('Pre-com'!$E$2:$E$300,25)))</f>
        <v/>
      </c>
      <c r="F31" s="46" t="n"/>
      <c r="G31" s="46" t="n"/>
      <c r="H31" s="46" t="n"/>
      <c r="I31" s="46" t="n"/>
      <c r="J31" s="46" t="n"/>
      <c r="K31" s="46" t="n"/>
      <c r="L31" s="46" t="n"/>
      <c r="M31" s="46" t="n"/>
      <c r="N31" s="46" t="n"/>
      <c r="O31" s="46" t="n"/>
      <c r="P31" s="46" t="n"/>
      <c r="Q31" s="46" t="n"/>
      <c r="R31" s="46" t="n"/>
      <c r="S31" s="46" t="n"/>
      <c r="T31" s="46" t="n"/>
      <c r="U31" s="46" t="n"/>
      <c r="V31" s="46" t="n"/>
      <c r="W31" s="46" t="n"/>
      <c r="X31" s="46" t="n"/>
      <c r="Y31" s="46" t="n"/>
      <c r="Z31" s="46" t="n"/>
      <c r="AA31" s="46" t="n"/>
    </row>
    <row r="32" ht="26" customHeight="1">
      <c r="A32" s="6" t="n"/>
      <c r="B32" s="44">
        <f>IF(INDEX('Pre-com'!$A$2:$A$300,26)="","",INDEX('Pre-com'!$A$2:$A$300,26))</f>
        <v/>
      </c>
      <c r="C32" s="45">
        <f>IF(INDEX('Pre-com'!$B$2:$B$300,26)="","",DATEVALUE(INDEX('Pre-com'!$B$2:$B$300,26)))</f>
        <v/>
      </c>
      <c r="D32" s="45">
        <f>IF(INDEX('Pre-com'!$C$2:$C$300,26)="","",DATEVALUE(INDEX('Pre-com'!$C$2:$C$300,26)))</f>
        <v/>
      </c>
      <c r="E32" s="45">
        <f>IF(INDEX('Pre-com'!$E$2:$E$300,26)="","",DATEVALUE(INDEX('Pre-com'!$E$2:$E$300,26)))</f>
        <v/>
      </c>
      <c r="F32" s="46" t="n"/>
      <c r="G32" s="46" t="n"/>
      <c r="H32" s="46" t="n"/>
      <c r="I32" s="46" t="n"/>
      <c r="J32" s="46" t="n"/>
      <c r="K32" s="46" t="n"/>
      <c r="L32" s="46" t="n"/>
      <c r="M32" s="46" t="n"/>
      <c r="N32" s="46" t="n"/>
      <c r="O32" s="46" t="n"/>
      <c r="P32" s="46" t="n"/>
      <c r="Q32" s="46" t="n"/>
      <c r="R32" s="46" t="n"/>
      <c r="S32" s="46" t="n"/>
      <c r="T32" s="46" t="n"/>
      <c r="U32" s="46" t="n"/>
      <c r="V32" s="46" t="n"/>
      <c r="W32" s="46" t="n"/>
      <c r="X32" s="46" t="n"/>
      <c r="Y32" s="46" t="n"/>
      <c r="Z32" s="46" t="n"/>
      <c r="AA32" s="46" t="n"/>
    </row>
    <row r="33" ht="26" customHeight="1">
      <c r="A33" s="6" t="n"/>
      <c r="B33" s="44">
        <f>IF(INDEX('Pre-com'!$A$2:$A$300,27)="","",INDEX('Pre-com'!$A$2:$A$300,27))</f>
        <v/>
      </c>
      <c r="C33" s="45">
        <f>IF(INDEX('Pre-com'!$B$2:$B$300,27)="","",DATEVALUE(INDEX('Pre-com'!$B$2:$B$300,27)))</f>
        <v/>
      </c>
      <c r="D33" s="45">
        <f>IF(INDEX('Pre-com'!$C$2:$C$300,27)="","",DATEVALUE(INDEX('Pre-com'!$C$2:$C$300,27)))</f>
        <v/>
      </c>
      <c r="E33" s="45">
        <f>IF(INDEX('Pre-com'!$E$2:$E$300,27)="","",DATEVALUE(INDEX('Pre-com'!$E$2:$E$300,27)))</f>
        <v/>
      </c>
      <c r="F33" s="46" t="n"/>
      <c r="G33" s="46" t="n"/>
      <c r="H33" s="46" t="n"/>
      <c r="I33" s="46" t="n"/>
      <c r="J33" s="46" t="n"/>
      <c r="K33" s="46" t="n"/>
      <c r="L33" s="46" t="n"/>
      <c r="M33" s="46" t="n"/>
      <c r="N33" s="46" t="n"/>
      <c r="O33" s="46" t="n"/>
      <c r="P33" s="46" t="n"/>
      <c r="Q33" s="46" t="n"/>
      <c r="R33" s="46" t="n"/>
      <c r="S33" s="46" t="n"/>
      <c r="T33" s="46" t="n"/>
      <c r="U33" s="46" t="n"/>
      <c r="V33" s="46" t="n"/>
      <c r="W33" s="46" t="n"/>
      <c r="X33" s="46" t="n"/>
      <c r="Y33" s="46" t="n"/>
      <c r="Z33" s="46" t="n"/>
      <c r="AA33" s="46" t="n"/>
    </row>
    <row r="34" ht="26" customHeight="1">
      <c r="A34" s="6" t="n"/>
      <c r="B34" s="44">
        <f>IF(INDEX('Pre-com'!$A$2:$A$300,28)="","",INDEX('Pre-com'!$A$2:$A$300,28))</f>
        <v/>
      </c>
      <c r="C34" s="45">
        <f>IF(INDEX('Pre-com'!$B$2:$B$300,28)="","",DATEVALUE(INDEX('Pre-com'!$B$2:$B$300,28)))</f>
        <v/>
      </c>
      <c r="D34" s="45">
        <f>IF(INDEX('Pre-com'!$C$2:$C$300,28)="","",DATEVALUE(INDEX('Pre-com'!$C$2:$C$300,28)))</f>
        <v/>
      </c>
      <c r="E34" s="45">
        <f>IF(INDEX('Pre-com'!$E$2:$E$300,28)="","",DATEVALUE(INDEX('Pre-com'!$E$2:$E$300,28)))</f>
        <v/>
      </c>
      <c r="F34" s="46" t="n"/>
      <c r="G34" s="46" t="n"/>
      <c r="H34" s="46" t="n"/>
      <c r="I34" s="46" t="n"/>
      <c r="J34" s="46" t="n"/>
      <c r="K34" s="46" t="n"/>
      <c r="L34" s="46" t="n"/>
      <c r="M34" s="46" t="n"/>
      <c r="N34" s="46" t="n"/>
      <c r="O34" s="46" t="n"/>
      <c r="P34" s="46" t="n"/>
      <c r="Q34" s="46" t="n"/>
      <c r="R34" s="46" t="n"/>
      <c r="S34" s="46" t="n"/>
      <c r="T34" s="46" t="n"/>
      <c r="U34" s="46" t="n"/>
      <c r="V34" s="46" t="n"/>
      <c r="W34" s="46" t="n"/>
      <c r="X34" s="46" t="n"/>
      <c r="Y34" s="46" t="n"/>
      <c r="Z34" s="46" t="n"/>
      <c r="AA34" s="46" t="n"/>
    </row>
    <row r="35" ht="26" customHeight="1">
      <c r="A35" s="6" t="n"/>
      <c r="B35" s="44">
        <f>IF(INDEX('Pre-com'!$A$2:$A$300,29)="","",INDEX('Pre-com'!$A$2:$A$300,29))</f>
        <v/>
      </c>
      <c r="C35" s="45">
        <f>IF(INDEX('Pre-com'!$B$2:$B$300,29)="","",DATEVALUE(INDEX('Pre-com'!$B$2:$B$300,29)))</f>
        <v/>
      </c>
      <c r="D35" s="45">
        <f>IF(INDEX('Pre-com'!$C$2:$C$300,29)="","",DATEVALUE(INDEX('Pre-com'!$C$2:$C$300,29)))</f>
        <v/>
      </c>
      <c r="E35" s="45">
        <f>IF(INDEX('Pre-com'!$E$2:$E$300,29)="","",DATEVALUE(INDEX('Pre-com'!$E$2:$E$300,29)))</f>
        <v/>
      </c>
      <c r="F35" s="46" t="n"/>
      <c r="G35" s="46" t="n"/>
      <c r="H35" s="46" t="n"/>
      <c r="I35" s="46" t="n"/>
      <c r="J35" s="46" t="n"/>
      <c r="K35" s="46" t="n"/>
      <c r="L35" s="46" t="n"/>
      <c r="M35" s="46" t="n"/>
      <c r="N35" s="46" t="n"/>
      <c r="O35" s="46" t="n"/>
      <c r="P35" s="46" t="n"/>
      <c r="Q35" s="46" t="n"/>
      <c r="R35" s="46" t="n"/>
      <c r="S35" s="46" t="n"/>
      <c r="T35" s="46" t="n"/>
      <c r="U35" s="46" t="n"/>
      <c r="V35" s="46" t="n"/>
      <c r="W35" s="46" t="n"/>
      <c r="X35" s="46" t="n"/>
      <c r="Y35" s="46" t="n"/>
      <c r="Z35" s="46" t="n"/>
      <c r="AA35" s="46" t="n"/>
    </row>
    <row r="36" ht="26" customHeight="1">
      <c r="A36" s="6" t="n"/>
      <c r="B36" s="44">
        <f>IF(INDEX('Pre-com'!$A$2:$A$300,30)="","",INDEX('Pre-com'!$A$2:$A$300,30))</f>
        <v/>
      </c>
      <c r="C36" s="45">
        <f>IF(INDEX('Pre-com'!$B$2:$B$300,30)="","",DATEVALUE(INDEX('Pre-com'!$B$2:$B$300,30)))</f>
        <v/>
      </c>
      <c r="D36" s="45">
        <f>IF(INDEX('Pre-com'!$C$2:$C$300,30)="","",DATEVALUE(INDEX('Pre-com'!$C$2:$C$300,30)))</f>
        <v/>
      </c>
      <c r="E36" s="45">
        <f>IF(INDEX('Pre-com'!$E$2:$E$300,30)="","",DATEVALUE(INDEX('Pre-com'!$E$2:$E$300,30)))</f>
        <v/>
      </c>
      <c r="F36" s="46" t="n"/>
      <c r="G36" s="46" t="n"/>
      <c r="H36" s="46" t="n"/>
      <c r="I36" s="46" t="n"/>
      <c r="J36" s="46" t="n"/>
      <c r="K36" s="46" t="n"/>
      <c r="L36" s="46" t="n"/>
      <c r="M36" s="46" t="n"/>
      <c r="N36" s="46" t="n"/>
      <c r="O36" s="46" t="n"/>
      <c r="P36" s="46" t="n"/>
      <c r="Q36" s="46" t="n"/>
      <c r="R36" s="46" t="n"/>
      <c r="S36" s="46" t="n"/>
      <c r="T36" s="46" t="n"/>
      <c r="U36" s="46" t="n"/>
      <c r="V36" s="46" t="n"/>
      <c r="W36" s="46" t="n"/>
      <c r="X36" s="46" t="n"/>
      <c r="Y36" s="46" t="n"/>
      <c r="Z36" s="46" t="n"/>
      <c r="AA36" s="46" t="n"/>
    </row>
    <row r="37">
      <c r="A37" s="6" t="n"/>
      <c r="B37" s="6" t="n"/>
      <c r="C37" s="6" t="n"/>
      <c r="D37" s="6" t="n"/>
      <c r="E37" s="6" t="n"/>
      <c r="F37" s="6" t="n"/>
      <c r="G37" s="6" t="n"/>
      <c r="H37" s="6" t="n"/>
      <c r="I37" s="6" t="n"/>
      <c r="J37" s="6" t="n"/>
      <c r="K37" s="6" t="n"/>
      <c r="L37" s="6" t="n"/>
      <c r="M37" s="6" t="n"/>
      <c r="N37" s="6" t="n"/>
      <c r="O37" s="6" t="n"/>
      <c r="P37" s="6" t="n"/>
      <c r="Q37" s="6" t="n"/>
      <c r="R37" s="6" t="n"/>
      <c r="S37" s="6" t="n"/>
      <c r="T37" s="6" t="n"/>
      <c r="U37" s="6" t="n"/>
      <c r="V37" s="6" t="n"/>
      <c r="W37" s="6" t="n"/>
      <c r="X37" s="6" t="n"/>
      <c r="Y37" s="6" t="n"/>
      <c r="Z37" s="6" t="n"/>
    </row>
    <row r="38">
      <c r="A38" s="6" t="n"/>
      <c r="B38" s="22" t="inlineStr">
        <is>
          <t>Preservation, installation &amp; commissioning</t>
        </is>
      </c>
      <c r="C38" s="6" t="n"/>
      <c r="D38" s="6" t="n"/>
      <c r="E38" s="6" t="n"/>
      <c r="F38" s="6" t="n"/>
      <c r="G38" s="6" t="n"/>
      <c r="H38" s="6" t="n"/>
      <c r="I38" s="6" t="n"/>
      <c r="J38" s="6" t="n"/>
      <c r="K38" s="6" t="n"/>
      <c r="L38" s="6" t="n"/>
      <c r="M38" s="6" t="n"/>
      <c r="N38" s="6" t="n"/>
      <c r="O38" s="6" t="n"/>
      <c r="P38" s="6" t="n"/>
      <c r="Q38" s="6" t="n"/>
      <c r="R38" s="6" t="n"/>
      <c r="S38" s="6" t="n"/>
      <c r="T38" s="6" t="n"/>
      <c r="U38" s="6" t="n"/>
      <c r="V38" s="6" t="n"/>
      <c r="W38" s="6" t="n"/>
      <c r="X38" s="6" t="n"/>
      <c r="Y38" s="6" t="n"/>
      <c r="Z38" s="6" t="n"/>
    </row>
    <row r="39">
      <c r="A39" s="6" t="n"/>
      <c r="B39" s="6" t="n"/>
      <c r="C39" s="6" t="n"/>
      <c r="D39" s="6" t="n"/>
      <c r="E39" s="6" t="n"/>
      <c r="F39" s="6" t="n"/>
      <c r="G39" s="6" t="n"/>
      <c r="H39" s="6" t="n"/>
      <c r="I39" s="6" t="n"/>
      <c r="J39" s="6" t="n"/>
      <c r="K39" s="6" t="n"/>
      <c r="L39" s="6" t="n"/>
      <c r="M39" s="6" t="n"/>
      <c r="N39" s="6" t="n"/>
      <c r="O39" s="6" t="n"/>
      <c r="P39" s="6" t="n"/>
      <c r="Q39" s="6" t="n"/>
      <c r="R39" s="6" t="n"/>
      <c r="S39" s="6" t="n"/>
      <c r="T39" s="6" t="n"/>
      <c r="U39" s="6" t="n"/>
      <c r="V39" s="6" t="n"/>
      <c r="W39" s="6" t="n"/>
      <c r="X39" s="6" t="n"/>
      <c r="Y39" s="6" t="n"/>
      <c r="Z39" s="6" t="n"/>
    </row>
    <row r="40">
      <c r="A40" s="6" t="n"/>
      <c r="B40" s="24" t="inlineStr">
        <is>
          <t>Item</t>
        </is>
      </c>
      <c r="C40" s="24" t="inlineStr">
        <is>
          <t>Status</t>
        </is>
      </c>
      <c r="D40" s="24" t="inlineStr"/>
      <c r="E40" s="24" t="inlineStr"/>
      <c r="F40" s="6" t="n"/>
      <c r="G40" s="6" t="n"/>
      <c r="H40" s="6" t="n"/>
      <c r="I40" s="6" t="n"/>
      <c r="J40" s="6" t="n"/>
      <c r="K40" s="6" t="n"/>
      <c r="L40" s="6" t="n"/>
      <c r="M40" s="6" t="n"/>
      <c r="N40" s="6" t="n"/>
      <c r="O40" s="6" t="n"/>
      <c r="P40" s="6" t="n"/>
      <c r="Q40" s="6" t="n"/>
      <c r="R40" s="6" t="n"/>
      <c r="S40" s="6" t="n"/>
      <c r="T40" s="6" t="n"/>
      <c r="U40" s="6" t="n"/>
      <c r="V40" s="6" t="n"/>
      <c r="W40" s="6" t="n"/>
      <c r="X40" s="6" t="n"/>
      <c r="Y40" s="6" t="n"/>
      <c r="Z40" s="6" t="n"/>
    </row>
    <row r="41">
      <c r="A41" s="6" t="n"/>
      <c r="B41" s="30">
        <f>IF($Z41="","",IF(INDEX('Trang thai cong viec'!$B$2:$B$300,$Z41)="","",INDEX('Trang thai cong viec'!$B$2:$B$300,$Z41)))</f>
        <v/>
      </c>
      <c r="C41" s="47">
        <f>IF($Z41="","",IF(INDEX('Trang thai cong viec'!$C$2:$C$300,$Z41)="","",INDEX('Trang thai cong viec'!$C$2:$C$300,$Z41)))</f>
        <v/>
      </c>
      <c r="O41" s="6" t="n"/>
      <c r="P41" s="6" t="n"/>
      <c r="Q41" s="6" t="n"/>
      <c r="R41" s="6" t="n"/>
      <c r="S41" s="6" t="n"/>
      <c r="T41" s="6" t="n"/>
      <c r="U41" s="6" t="n"/>
      <c r="V41" s="6" t="n"/>
      <c r="W41" s="6" t="n"/>
      <c r="X41" s="6" t="n"/>
      <c r="Y41" s="6" t="n"/>
      <c r="Z41" s="39">
        <f t="array" ref="Z41">IFERROR(SMALL(IF('Trang thai cong viec'!$A$2:$A$300="Commissioning",ROW('Trang thai cong viec'!$A$2:$A$300)-1),1),"")</f>
        <v/>
      </c>
    </row>
    <row r="42">
      <c r="A42" s="6" t="n"/>
      <c r="B42" s="30">
        <f>IF($Z42="","",IF(INDEX('Trang thai cong viec'!$B$2:$B$300,$Z42)="","",INDEX('Trang thai cong viec'!$B$2:$B$300,$Z42)))</f>
        <v/>
      </c>
      <c r="C42" s="47">
        <f>IF($Z42="","",IF(INDEX('Trang thai cong viec'!$C$2:$C$300,$Z42)="","",INDEX('Trang thai cong viec'!$C$2:$C$300,$Z42)))</f>
        <v/>
      </c>
      <c r="O42" s="6" t="n"/>
      <c r="P42" s="6" t="n"/>
      <c r="Q42" s="6" t="n"/>
      <c r="R42" s="6" t="n"/>
      <c r="S42" s="6" t="n"/>
      <c r="T42" s="6" t="n"/>
      <c r="U42" s="6" t="n"/>
      <c r="V42" s="6" t="n"/>
      <c r="W42" s="6" t="n"/>
      <c r="X42" s="6" t="n"/>
      <c r="Y42" s="6" t="n"/>
      <c r="Z42" s="39">
        <f t="array" ref="Z42">IFERROR(SMALL(IF('Trang thai cong viec'!$A$2:$A$300="Commissioning",ROW('Trang thai cong viec'!$A$2:$A$300)-1),2),"")</f>
        <v/>
      </c>
    </row>
    <row r="43">
      <c r="A43" s="6" t="n"/>
      <c r="B43" s="30">
        <f>IF($Z43="","",IF(INDEX('Trang thai cong viec'!$B$2:$B$300,$Z43)="","",INDEX('Trang thai cong viec'!$B$2:$B$300,$Z43)))</f>
        <v/>
      </c>
      <c r="C43" s="47">
        <f>IF($Z43="","",IF(INDEX('Trang thai cong viec'!$C$2:$C$300,$Z43)="","",INDEX('Trang thai cong viec'!$C$2:$C$300,$Z43)))</f>
        <v/>
      </c>
      <c r="O43" s="6" t="n"/>
      <c r="P43" s="6" t="n"/>
      <c r="Q43" s="6" t="n"/>
      <c r="R43" s="6" t="n"/>
      <c r="S43" s="6" t="n"/>
      <c r="T43" s="6" t="n"/>
      <c r="U43" s="6" t="n"/>
      <c r="V43" s="6" t="n"/>
      <c r="W43" s="6" t="n"/>
      <c r="X43" s="6" t="n"/>
      <c r="Y43" s="6" t="n"/>
      <c r="Z43" s="39">
        <f t="array" ref="Z43">IFERROR(SMALL(IF('Trang thai cong viec'!$A$2:$A$300="Commissioning",ROW('Trang thai cong viec'!$A$2:$A$300)-1),3),"")</f>
        <v/>
      </c>
    </row>
    <row r="44">
      <c r="A44" s="6" t="n"/>
      <c r="B44" s="30">
        <f>IF($Z44="","",IF(INDEX('Trang thai cong viec'!$B$2:$B$300,$Z44)="","",INDEX('Trang thai cong viec'!$B$2:$B$300,$Z44)))</f>
        <v/>
      </c>
      <c r="C44" s="47">
        <f>IF($Z44="","",IF(INDEX('Trang thai cong viec'!$C$2:$C$300,$Z44)="","",INDEX('Trang thai cong viec'!$C$2:$C$300,$Z44)))</f>
        <v/>
      </c>
      <c r="O44" s="6" t="n"/>
      <c r="P44" s="6" t="n"/>
      <c r="Q44" s="6" t="n"/>
      <c r="R44" s="6" t="n"/>
      <c r="S44" s="6" t="n"/>
      <c r="T44" s="6" t="n"/>
      <c r="U44" s="6" t="n"/>
      <c r="V44" s="6" t="n"/>
      <c r="W44" s="6" t="n"/>
      <c r="X44" s="6" t="n"/>
      <c r="Y44" s="6" t="n"/>
      <c r="Z44" s="39">
        <f t="array" ref="Z44">IFERROR(SMALL(IF('Trang thai cong viec'!$A$2:$A$300="Commissioning",ROW('Trang thai cong viec'!$A$2:$A$300)-1),4),"")</f>
        <v/>
      </c>
    </row>
    <row r="45">
      <c r="A45" s="6" t="n"/>
      <c r="B45" s="30">
        <f>IF($Z45="","",IF(INDEX('Trang thai cong viec'!$B$2:$B$300,$Z45)="","",INDEX('Trang thai cong viec'!$B$2:$B$300,$Z45)))</f>
        <v/>
      </c>
      <c r="C45" s="47">
        <f>IF($Z45="","",IF(INDEX('Trang thai cong viec'!$C$2:$C$300,$Z45)="","",INDEX('Trang thai cong viec'!$C$2:$C$300,$Z45)))</f>
        <v/>
      </c>
      <c r="O45" s="6" t="n"/>
      <c r="P45" s="6" t="n"/>
      <c r="Q45" s="6" t="n"/>
      <c r="R45" s="6" t="n"/>
      <c r="S45" s="6" t="n"/>
      <c r="T45" s="6" t="n"/>
      <c r="U45" s="6" t="n"/>
      <c r="V45" s="6" t="n"/>
      <c r="W45" s="6" t="n"/>
      <c r="X45" s="6" t="n"/>
      <c r="Y45" s="6" t="n"/>
      <c r="Z45" s="39">
        <f t="array" ref="Z45">IFERROR(SMALL(IF('Trang thai cong viec'!$A$2:$A$300="Commissioning",ROW('Trang thai cong viec'!$A$2:$A$300)-1),5),"")</f>
        <v/>
      </c>
    </row>
    <row r="46">
      <c r="A46" s="6" t="n"/>
      <c r="B46" s="6" t="n"/>
      <c r="C46" s="6" t="n"/>
      <c r="D46" s="6" t="n"/>
      <c r="E46" s="6" t="n"/>
      <c r="F46" s="6" t="n"/>
      <c r="G46" s="6" t="n"/>
      <c r="H46" s="6" t="n"/>
      <c r="I46" s="6" t="n"/>
      <c r="J46" s="6" t="n"/>
      <c r="K46" s="6" t="n"/>
      <c r="L46" s="6" t="n"/>
      <c r="M46" s="6" t="n"/>
      <c r="N46" s="6" t="n"/>
      <c r="O46" s="6" t="n"/>
      <c r="P46" s="6" t="n"/>
      <c r="Q46" s="6" t="n"/>
      <c r="R46" s="6" t="n"/>
      <c r="S46" s="6" t="n"/>
      <c r="T46" s="6" t="n"/>
      <c r="U46" s="6" t="n"/>
      <c r="V46" s="6" t="n"/>
      <c r="W46" s="6" t="n"/>
      <c r="X46" s="6" t="n"/>
      <c r="Y46" s="6" t="n"/>
      <c r="Z46" s="6" t="n"/>
    </row>
    <row r="47">
      <c r="A47" s="6" t="n"/>
      <c r="B47" s="6" t="n"/>
      <c r="C47" s="6" t="n"/>
      <c r="D47" s="6" t="n"/>
      <c r="E47" s="6" t="n"/>
      <c r="F47" s="6" t="n"/>
      <c r="G47" s="6" t="n"/>
      <c r="H47" s="6" t="n"/>
      <c r="I47" s="6" t="n"/>
      <c r="J47" s="6" t="n"/>
      <c r="K47" s="6" t="n"/>
      <c r="L47" s="6" t="n"/>
      <c r="M47" s="6" t="n"/>
      <c r="N47" s="6" t="n"/>
      <c r="O47" s="6" t="n"/>
      <c r="P47" s="6" t="n"/>
      <c r="Q47" s="6" t="n"/>
      <c r="R47" s="6" t="n"/>
      <c r="S47" s="6" t="n"/>
      <c r="T47" s="6" t="n"/>
      <c r="U47" s="6" t="n"/>
      <c r="V47" s="6" t="n"/>
      <c r="W47" s="6" t="n"/>
      <c r="X47" s="6" t="n"/>
      <c r="Y47" s="6" t="n"/>
      <c r="Z47" s="6" t="n"/>
    </row>
    <row r="48">
      <c r="A48" s="6" t="n"/>
      <c r="B48" s="22" t="inlineStr">
        <is>
          <t>CPP start-up sequence</t>
        </is>
      </c>
      <c r="C48" s="6" t="n"/>
      <c r="D48" s="6" t="n"/>
      <c r="E48" s="6" t="n"/>
      <c r="F48" s="6" t="n"/>
      <c r="G48" s="6" t="n"/>
      <c r="H48" s="6" t="n"/>
      <c r="I48" s="6" t="n"/>
      <c r="J48" s="6" t="n"/>
      <c r="K48" s="6" t="n"/>
      <c r="L48" s="6" t="n"/>
      <c r="M48" s="6" t="n"/>
      <c r="N48" s="6" t="n"/>
      <c r="O48" s="6" t="n"/>
      <c r="P48" s="6" t="n"/>
      <c r="Q48" s="6" t="n"/>
      <c r="R48" s="6" t="n"/>
      <c r="S48" s="6" t="n"/>
      <c r="T48" s="6" t="n"/>
      <c r="U48" s="6" t="n"/>
      <c r="V48" s="6" t="n"/>
      <c r="W48" s="6" t="n"/>
      <c r="X48" s="6" t="n"/>
      <c r="Y48" s="6" t="n"/>
      <c r="Z48" s="6" t="n"/>
    </row>
    <row r="49">
      <c r="A49" s="6" t="n"/>
      <c r="B49" s="23" t="inlineStr">
        <is>
          <t>Summarised from the CPP start-up block diagram.</t>
        </is>
      </c>
      <c r="C49" s="6" t="n"/>
      <c r="D49" s="6" t="n"/>
      <c r="E49" s="6" t="n"/>
      <c r="F49" s="6" t="n"/>
      <c r="G49" s="6" t="n"/>
      <c r="H49" s="6" t="n"/>
      <c r="I49" s="6" t="n"/>
      <c r="J49" s="6" t="n"/>
      <c r="K49" s="6" t="n"/>
      <c r="L49" s="6" t="n"/>
      <c r="M49" s="6" t="n"/>
      <c r="N49" s="6" t="n"/>
      <c r="O49" s="6" t="n"/>
      <c r="P49" s="6" t="n"/>
      <c r="Q49" s="6" t="n"/>
      <c r="R49" s="6" t="n"/>
      <c r="S49" s="6" t="n"/>
      <c r="T49" s="6" t="n"/>
      <c r="U49" s="6" t="n"/>
      <c r="V49" s="6" t="n"/>
      <c r="W49" s="6" t="n"/>
      <c r="X49" s="6" t="n"/>
      <c r="Y49" s="6" t="n"/>
      <c r="Z49" s="6" t="n"/>
    </row>
    <row r="50">
      <c r="A50" s="6" t="n"/>
      <c r="B50" s="24" t="inlineStr">
        <is>
          <t>Step · phase</t>
        </is>
      </c>
      <c r="C50" s="24" t="inlineStr">
        <is>
          <t>Action</t>
        </is>
      </c>
      <c r="D50" s="6" t="n"/>
      <c r="E50" s="6" t="n"/>
      <c r="F50" s="6" t="n"/>
      <c r="G50" s="6" t="n"/>
      <c r="H50" s="6" t="n"/>
      <c r="I50" s="6" t="n"/>
      <c r="J50" s="6" t="n"/>
      <c r="K50" s="6" t="n"/>
      <c r="L50" s="6" t="n"/>
      <c r="M50" s="6" t="n"/>
      <c r="N50" s="6" t="n"/>
      <c r="O50" s="6" t="n"/>
      <c r="P50" s="6" t="n"/>
      <c r="Q50" s="6" t="n"/>
      <c r="R50" s="6" t="n"/>
      <c r="S50" s="6" t="n"/>
      <c r="T50" s="6" t="n"/>
      <c r="U50" s="6" t="n"/>
      <c r="V50" s="6" t="n"/>
      <c r="W50" s="6" t="n"/>
      <c r="X50" s="6" t="n"/>
      <c r="Y50" s="6" t="n"/>
      <c r="Z50" s="6" t="n"/>
    </row>
    <row r="51" ht="30" customHeight="1">
      <c r="A51" s="6" t="n"/>
      <c r="B51" s="30">
        <f>IF(INDEX('Trinh tu khoi dong'!$A$2:$A$300,1)="","",INDEX('Trinh tu khoi dong'!$A$2:$A$300,1)&amp;". "&amp;INDEX('Trinh tu khoi dong'!$B$2:$B$300,1))</f>
        <v/>
      </c>
      <c r="C51" s="48">
        <f>IF(INDEX('Trinh tu khoi dong'!$C$2:$C$300,1)="","",INDEX('Trinh tu khoi dong'!$C$2:$C$300,1))</f>
        <v/>
      </c>
    </row>
    <row r="52" ht="30" customHeight="1">
      <c r="A52" s="6" t="n"/>
      <c r="B52" s="30">
        <f>IF(INDEX('Trinh tu khoi dong'!$A$2:$A$300,2)="","",INDEX('Trinh tu khoi dong'!$A$2:$A$300,2)&amp;". "&amp;INDEX('Trinh tu khoi dong'!$B$2:$B$300,2))</f>
        <v/>
      </c>
      <c r="C52" s="48">
        <f>IF(INDEX('Trinh tu khoi dong'!$C$2:$C$300,2)="","",INDEX('Trinh tu khoi dong'!$C$2:$C$300,2))</f>
        <v/>
      </c>
    </row>
    <row r="53" ht="30" customHeight="1">
      <c r="A53" s="6" t="n"/>
      <c r="B53" s="30">
        <f>IF(INDEX('Trinh tu khoi dong'!$A$2:$A$300,3)="","",INDEX('Trinh tu khoi dong'!$A$2:$A$300,3)&amp;". "&amp;INDEX('Trinh tu khoi dong'!$B$2:$B$300,3))</f>
        <v/>
      </c>
      <c r="C53" s="48">
        <f>IF(INDEX('Trinh tu khoi dong'!$C$2:$C$300,3)="","",INDEX('Trinh tu khoi dong'!$C$2:$C$300,3))</f>
        <v/>
      </c>
    </row>
    <row r="54" ht="30" customHeight="1">
      <c r="A54" s="6" t="n"/>
      <c r="B54" s="30">
        <f>IF(INDEX('Trinh tu khoi dong'!$A$2:$A$300,4)="","",INDEX('Trinh tu khoi dong'!$A$2:$A$300,4)&amp;". "&amp;INDEX('Trinh tu khoi dong'!$B$2:$B$300,4))</f>
        <v/>
      </c>
      <c r="C54" s="48">
        <f>IF(INDEX('Trinh tu khoi dong'!$C$2:$C$300,4)="","",INDEX('Trinh tu khoi dong'!$C$2:$C$300,4))</f>
        <v/>
      </c>
    </row>
    <row r="55" ht="30" customHeight="1">
      <c r="A55" s="6" t="n"/>
      <c r="B55" s="30">
        <f>IF(INDEX('Trinh tu khoi dong'!$A$2:$A$300,5)="","",INDEX('Trinh tu khoi dong'!$A$2:$A$300,5)&amp;". "&amp;INDEX('Trinh tu khoi dong'!$B$2:$B$300,5))</f>
        <v/>
      </c>
      <c r="C55" s="48">
        <f>IF(INDEX('Trinh tu khoi dong'!$C$2:$C$300,5)="","",INDEX('Trinh tu khoi dong'!$C$2:$C$300,5))</f>
        <v/>
      </c>
    </row>
    <row r="56" ht="30" customHeight="1">
      <c r="A56" s="6" t="n"/>
      <c r="B56" s="30">
        <f>IF(INDEX('Trinh tu khoi dong'!$A$2:$A$300,6)="","",INDEX('Trinh tu khoi dong'!$A$2:$A$300,6)&amp;". "&amp;INDEX('Trinh tu khoi dong'!$B$2:$B$300,6))</f>
        <v/>
      </c>
      <c r="C56" s="48">
        <f>IF(INDEX('Trinh tu khoi dong'!$C$2:$C$300,6)="","",INDEX('Trinh tu khoi dong'!$C$2:$C$300,6))</f>
        <v/>
      </c>
    </row>
    <row r="57" ht="30" customHeight="1">
      <c r="A57" s="6" t="n"/>
      <c r="B57" s="30">
        <f>IF(INDEX('Trinh tu khoi dong'!$A$2:$A$300,7)="","",INDEX('Trinh tu khoi dong'!$A$2:$A$300,7)&amp;". "&amp;INDEX('Trinh tu khoi dong'!$B$2:$B$300,7))</f>
        <v/>
      </c>
      <c r="C57" s="48">
        <f>IF(INDEX('Trinh tu khoi dong'!$C$2:$C$300,7)="","",INDEX('Trinh tu khoi dong'!$C$2:$C$300,7))</f>
        <v/>
      </c>
    </row>
    <row r="58" ht="30" customHeight="1">
      <c r="A58" s="6" t="n"/>
      <c r="B58" s="30">
        <f>IF(INDEX('Trinh tu khoi dong'!$A$2:$A$300,8)="","",INDEX('Trinh tu khoi dong'!$A$2:$A$300,8)&amp;". "&amp;INDEX('Trinh tu khoi dong'!$B$2:$B$300,8))</f>
        <v/>
      </c>
      <c r="C58" s="48">
        <f>IF(INDEX('Trinh tu khoi dong'!$C$2:$C$300,8)="","",INDEX('Trinh tu khoi dong'!$C$2:$C$300,8))</f>
        <v/>
      </c>
    </row>
    <row r="59" ht="30" customHeight="1">
      <c r="A59" s="6" t="n"/>
      <c r="B59" s="30">
        <f>IF(INDEX('Trinh tu khoi dong'!$A$2:$A$300,9)="","",INDEX('Trinh tu khoi dong'!$A$2:$A$300,9)&amp;". "&amp;INDEX('Trinh tu khoi dong'!$B$2:$B$300,9))</f>
        <v/>
      </c>
      <c r="C59" s="48">
        <f>IF(INDEX('Trinh tu khoi dong'!$C$2:$C$300,9)="","",INDEX('Trinh tu khoi dong'!$C$2:$C$300,9))</f>
        <v/>
      </c>
    </row>
    <row r="60" ht="30" customHeight="1">
      <c r="A60" s="6" t="n"/>
      <c r="B60" s="30">
        <f>IF(INDEX('Trinh tu khoi dong'!$A$2:$A$300,10)="","",INDEX('Trinh tu khoi dong'!$A$2:$A$300,10)&amp;". "&amp;INDEX('Trinh tu khoi dong'!$B$2:$B$300,10))</f>
        <v/>
      </c>
      <c r="C60" s="48">
        <f>IF(INDEX('Trinh tu khoi dong'!$C$2:$C$300,10)="","",INDEX('Trinh tu khoi dong'!$C$2:$C$300,10))</f>
        <v/>
      </c>
    </row>
    <row r="61" ht="30" customHeight="1">
      <c r="A61" s="6" t="n"/>
      <c r="B61" s="30">
        <f>IF(INDEX('Trinh tu khoi dong'!$A$2:$A$300,11)="","",INDEX('Trinh tu khoi dong'!$A$2:$A$300,11)&amp;". "&amp;INDEX('Trinh tu khoi dong'!$B$2:$B$300,11))</f>
        <v/>
      </c>
      <c r="C61" s="48">
        <f>IF(INDEX('Trinh tu khoi dong'!$C$2:$C$300,11)="","",INDEX('Trinh tu khoi dong'!$C$2:$C$300,11))</f>
        <v/>
      </c>
    </row>
    <row r="62" ht="30" customHeight="1">
      <c r="A62" s="6" t="n"/>
      <c r="B62" s="30">
        <f>IF(INDEX('Trinh tu khoi dong'!$A$2:$A$300,12)="","",INDEX('Trinh tu khoi dong'!$A$2:$A$300,12)&amp;". "&amp;INDEX('Trinh tu khoi dong'!$B$2:$B$300,12))</f>
        <v/>
      </c>
      <c r="C62" s="48">
        <f>IF(INDEX('Trinh tu khoi dong'!$C$2:$C$300,12)="","",INDEX('Trinh tu khoi dong'!$C$2:$C$300,12))</f>
        <v/>
      </c>
    </row>
    <row r="63" ht="30" customHeight="1">
      <c r="A63" s="6" t="n"/>
      <c r="B63" s="30">
        <f>IF(INDEX('Trinh tu khoi dong'!$A$2:$A$300,13)="","",INDEX('Trinh tu khoi dong'!$A$2:$A$300,13)&amp;". "&amp;INDEX('Trinh tu khoi dong'!$B$2:$B$300,13))</f>
        <v/>
      </c>
      <c r="C63" s="48">
        <f>IF(INDEX('Trinh tu khoi dong'!$C$2:$C$300,13)="","",INDEX('Trinh tu khoi dong'!$C$2:$C$300,13))</f>
        <v/>
      </c>
    </row>
    <row r="64" ht="30" customHeight="1">
      <c r="A64" s="6" t="n"/>
      <c r="B64" s="30">
        <f>IF(INDEX('Trinh tu khoi dong'!$A$2:$A$300,14)="","",INDEX('Trinh tu khoi dong'!$A$2:$A$300,14)&amp;". "&amp;INDEX('Trinh tu khoi dong'!$B$2:$B$300,14))</f>
        <v/>
      </c>
      <c r="C64" s="48">
        <f>IF(INDEX('Trinh tu khoi dong'!$C$2:$C$300,14)="","",INDEX('Trinh tu khoi dong'!$C$2:$C$300,14))</f>
        <v/>
      </c>
    </row>
    <row r="65" ht="30" customHeight="1">
      <c r="A65" s="6" t="n"/>
      <c r="B65" s="30">
        <f>IF(INDEX('Trinh tu khoi dong'!$A$2:$A$300,15)="","",INDEX('Trinh tu khoi dong'!$A$2:$A$300,15)&amp;". "&amp;INDEX('Trinh tu khoi dong'!$B$2:$B$300,15))</f>
        <v/>
      </c>
      <c r="C65" s="48">
        <f>IF(INDEX('Trinh tu khoi dong'!$C$2:$C$300,15)="","",INDEX('Trinh tu khoi dong'!$C$2:$C$300,15))</f>
        <v/>
      </c>
    </row>
    <row r="66" ht="30" customHeight="1">
      <c r="A66" s="6" t="n"/>
      <c r="B66" s="30">
        <f>IF(INDEX('Trinh tu khoi dong'!$A$2:$A$300,16)="","",INDEX('Trinh tu khoi dong'!$A$2:$A$300,16)&amp;". "&amp;INDEX('Trinh tu khoi dong'!$B$2:$B$300,16))</f>
        <v/>
      </c>
      <c r="C66" s="48">
        <f>IF(INDEX('Trinh tu khoi dong'!$C$2:$C$300,16)="","",INDEX('Trinh tu khoi dong'!$C$2:$C$300,16))</f>
        <v/>
      </c>
    </row>
    <row r="67" ht="30" customHeight="1">
      <c r="A67" s="6" t="n"/>
      <c r="B67" s="30">
        <f>IF(INDEX('Trinh tu khoi dong'!$A$2:$A$300,17)="","",INDEX('Trinh tu khoi dong'!$A$2:$A$300,17)&amp;". "&amp;INDEX('Trinh tu khoi dong'!$B$2:$B$300,17))</f>
        <v/>
      </c>
      <c r="C67" s="48">
        <f>IF(INDEX('Trinh tu khoi dong'!$C$2:$C$300,17)="","",INDEX('Trinh tu khoi dong'!$C$2:$C$300,17))</f>
        <v/>
      </c>
    </row>
    <row r="68" ht="30" customHeight="1">
      <c r="A68" s="6" t="n"/>
      <c r="B68" s="30">
        <f>IF(INDEX('Trinh tu khoi dong'!$A$2:$A$300,18)="","",INDEX('Trinh tu khoi dong'!$A$2:$A$300,18)&amp;". "&amp;INDEX('Trinh tu khoi dong'!$B$2:$B$300,18))</f>
        <v/>
      </c>
      <c r="C68" s="48">
        <f>IF(INDEX('Trinh tu khoi dong'!$C$2:$C$300,18)="","",INDEX('Trinh tu khoi dong'!$C$2:$C$300,18))</f>
        <v/>
      </c>
    </row>
    <row r="69" ht="30" customHeight="1">
      <c r="A69" s="6" t="n"/>
      <c r="B69" s="30">
        <f>IF(INDEX('Trinh tu khoi dong'!$A$2:$A$300,19)="","",INDEX('Trinh tu khoi dong'!$A$2:$A$300,19)&amp;". "&amp;INDEX('Trinh tu khoi dong'!$B$2:$B$300,19))</f>
        <v/>
      </c>
      <c r="C69" s="48">
        <f>IF(INDEX('Trinh tu khoi dong'!$C$2:$C$300,19)="","",INDEX('Trinh tu khoi dong'!$C$2:$C$300,19))</f>
        <v/>
      </c>
    </row>
    <row r="70" ht="30" customHeight="1">
      <c r="A70" s="6" t="n"/>
      <c r="B70" s="30">
        <f>IF(INDEX('Trinh tu khoi dong'!$A$2:$A$300,20)="","",INDEX('Trinh tu khoi dong'!$A$2:$A$300,20)&amp;". "&amp;INDEX('Trinh tu khoi dong'!$B$2:$B$300,20))</f>
        <v/>
      </c>
      <c r="C70" s="48">
        <f>IF(INDEX('Trinh tu khoi dong'!$C$2:$C$300,20)="","",INDEX('Trinh tu khoi dong'!$C$2:$C$300,20))</f>
        <v/>
      </c>
    </row>
    <row r="71">
      <c r="A71" s="6" t="n"/>
      <c r="B71" s="6" t="n"/>
      <c r="C71" s="6" t="n"/>
      <c r="D71" s="6" t="n"/>
      <c r="E71" s="6" t="n"/>
      <c r="F71" s="6" t="n"/>
      <c r="G71" s="6" t="n"/>
      <c r="H71" s="6" t="n"/>
      <c r="I71" s="6" t="n"/>
      <c r="J71" s="6" t="n"/>
      <c r="K71" s="6" t="n"/>
      <c r="L71" s="6" t="n"/>
      <c r="M71" s="6" t="n"/>
      <c r="N71" s="6" t="n"/>
      <c r="O71" s="6" t="n"/>
      <c r="P71" s="6" t="n"/>
      <c r="Q71" s="6" t="n"/>
      <c r="R71" s="6" t="n"/>
      <c r="S71" s="6" t="n"/>
      <c r="T71" s="6" t="n"/>
      <c r="U71" s="6" t="n"/>
      <c r="V71" s="6" t="n"/>
      <c r="W71" s="6" t="n"/>
      <c r="X71" s="6" t="n"/>
      <c r="Y71" s="6" t="n"/>
      <c r="Z71" s="6" t="n"/>
    </row>
    <row r="72">
      <c r="A72" s="6" t="n"/>
      <c r="B72" s="6" t="n"/>
      <c r="C72" s="6" t="n"/>
      <c r="D72" s="6" t="n"/>
      <c r="E72" s="6" t="n"/>
      <c r="F72" s="6" t="n"/>
      <c r="G72" s="6" t="n"/>
      <c r="H72" s="6" t="n"/>
      <c r="I72" s="6" t="n"/>
      <c r="J72" s="6" t="n"/>
      <c r="K72" s="6" t="n"/>
      <c r="L72" s="6" t="n"/>
      <c r="M72" s="6" t="n"/>
      <c r="N72" s="6" t="n"/>
      <c r="O72" s="6" t="n"/>
      <c r="P72" s="6" t="n"/>
      <c r="Q72" s="6" t="n"/>
      <c r="R72" s="6" t="n"/>
      <c r="S72" s="6" t="n"/>
      <c r="T72" s="6" t="n"/>
      <c r="U72" s="6" t="n"/>
      <c r="V72" s="6" t="n"/>
      <c r="W72" s="6" t="n"/>
      <c r="X72" s="6" t="n"/>
      <c r="Y72" s="6" t="n"/>
      <c r="Z72" s="6" t="n"/>
    </row>
    <row r="73">
      <c r="A73" s="6" t="n"/>
      <c r="B73" s="6" t="n"/>
      <c r="C73" s="6" t="n"/>
      <c r="D73" s="6" t="n"/>
      <c r="E73" s="6" t="n"/>
      <c r="F73" s="6" t="n"/>
      <c r="G73" s="6" t="n"/>
      <c r="H73" s="6" t="n"/>
      <c r="I73" s="6" t="n"/>
      <c r="J73" s="6" t="n"/>
      <c r="K73" s="6" t="n"/>
      <c r="L73" s="6" t="n"/>
      <c r="M73" s="6" t="n"/>
      <c r="N73" s="6" t="n"/>
      <c r="O73" s="6" t="n"/>
      <c r="P73" s="6" t="n"/>
      <c r="Q73" s="6" t="n"/>
      <c r="R73" s="6" t="n"/>
      <c r="S73" s="6" t="n"/>
      <c r="T73" s="6" t="n"/>
      <c r="U73" s="6" t="n"/>
      <c r="V73" s="6" t="n"/>
      <c r="W73" s="6" t="n"/>
      <c r="X73" s="6" t="n"/>
      <c r="Y73" s="6" t="n"/>
      <c r="Z73" s="6" t="n"/>
    </row>
    <row r="74">
      <c r="A74" s="6" t="n"/>
      <c r="B74" s="6" t="n"/>
      <c r="C74" s="6" t="n"/>
      <c r="D74" s="6" t="n"/>
      <c r="E74" s="6" t="n"/>
      <c r="F74" s="6" t="n"/>
      <c r="G74" s="6" t="n"/>
      <c r="H74" s="6" t="n"/>
      <c r="I74" s="6" t="n"/>
      <c r="J74" s="6" t="n"/>
      <c r="K74" s="6" t="n"/>
      <c r="L74" s="6" t="n"/>
      <c r="M74" s="6" t="n"/>
      <c r="N74" s="6" t="n"/>
      <c r="O74" s="6" t="n"/>
      <c r="P74" s="6" t="n"/>
      <c r="Q74" s="6" t="n"/>
      <c r="R74" s="6" t="n"/>
      <c r="S74" s="6" t="n"/>
      <c r="T74" s="6" t="n"/>
      <c r="U74" s="6" t="n"/>
      <c r="V74" s="6" t="n"/>
      <c r="W74" s="6" t="n"/>
      <c r="X74" s="6" t="n"/>
      <c r="Y74" s="6" t="n"/>
      <c r="Z74" s="6" t="n"/>
    </row>
    <row r="75">
      <c r="A75" s="6" t="n"/>
      <c r="B75" s="6" t="n"/>
      <c r="C75" s="6" t="n"/>
      <c r="D75" s="6" t="n"/>
      <c r="E75" s="6" t="n"/>
      <c r="F75" s="6" t="n"/>
      <c r="G75" s="6" t="n"/>
      <c r="H75" s="6" t="n"/>
      <c r="I75" s="6" t="n"/>
      <c r="J75" s="6" t="n"/>
      <c r="K75" s="6" t="n"/>
      <c r="L75" s="6" t="n"/>
      <c r="M75" s="6" t="n"/>
      <c r="N75" s="6" t="n"/>
      <c r="O75" s="6" t="n"/>
      <c r="P75" s="6" t="n"/>
      <c r="Q75" s="6" t="n"/>
      <c r="R75" s="6" t="n"/>
      <c r="S75" s="6" t="n"/>
      <c r="T75" s="6" t="n"/>
      <c r="U75" s="6" t="n"/>
      <c r="V75" s="6" t="n"/>
      <c r="W75" s="6" t="n"/>
      <c r="X75" s="6" t="n"/>
      <c r="Y75" s="6" t="n"/>
      <c r="Z75" s="6" t="n"/>
    </row>
    <row r="76">
      <c r="A76" s="6" t="n"/>
      <c r="B76" s="6" t="n"/>
      <c r="C76" s="6" t="n"/>
      <c r="D76" s="6" t="n"/>
      <c r="E76" s="6" t="n"/>
      <c r="F76" s="6" t="n"/>
      <c r="G76" s="6" t="n"/>
      <c r="H76" s="6" t="n"/>
      <c r="I76" s="6" t="n"/>
      <c r="J76" s="6" t="n"/>
      <c r="K76" s="6" t="n"/>
      <c r="L76" s="6" t="n"/>
      <c r="M76" s="6" t="n"/>
      <c r="N76" s="6" t="n"/>
      <c r="O76" s="6" t="n"/>
      <c r="P76" s="6" t="n"/>
      <c r="Q76" s="6" t="n"/>
      <c r="R76" s="6" t="n"/>
      <c r="S76" s="6" t="n"/>
      <c r="T76" s="6" t="n"/>
      <c r="U76" s="6" t="n"/>
      <c r="V76" s="6" t="n"/>
      <c r="W76" s="6" t="n"/>
      <c r="X76" s="6" t="n"/>
      <c r="Y76" s="6" t="n"/>
      <c r="Z76" s="6" t="n"/>
    </row>
    <row r="77">
      <c r="A77" s="6" t="n"/>
      <c r="B77" s="6" t="n"/>
      <c r="C77" s="6" t="n"/>
      <c r="D77" s="6" t="n"/>
      <c r="E77" s="6" t="n"/>
      <c r="F77" s="6" t="n"/>
      <c r="G77" s="6" t="n"/>
      <c r="H77" s="6" t="n"/>
      <c r="I77" s="6" t="n"/>
      <c r="J77" s="6" t="n"/>
      <c r="K77" s="6" t="n"/>
      <c r="L77" s="6" t="n"/>
      <c r="M77" s="6" t="n"/>
      <c r="N77" s="6" t="n"/>
      <c r="O77" s="6" t="n"/>
      <c r="P77" s="6" t="n"/>
      <c r="Q77" s="6" t="n"/>
      <c r="R77" s="6" t="n"/>
      <c r="S77" s="6" t="n"/>
      <c r="T77" s="6" t="n"/>
      <c r="U77" s="6" t="n"/>
      <c r="V77" s="6" t="n"/>
      <c r="W77" s="6" t="n"/>
      <c r="X77" s="6" t="n"/>
      <c r="Y77" s="6" t="n"/>
      <c r="Z77" s="6" t="n"/>
    </row>
    <row r="78">
      <c r="A78" s="6" t="n"/>
      <c r="B78" s="6" t="n"/>
      <c r="C78" s="6" t="n"/>
      <c r="D78" s="6" t="n"/>
      <c r="E78" s="6" t="n"/>
      <c r="F78" s="6" t="n"/>
      <c r="G78" s="6" t="n"/>
      <c r="H78" s="6" t="n"/>
      <c r="I78" s="6" t="n"/>
      <c r="J78" s="6" t="n"/>
      <c r="K78" s="6" t="n"/>
      <c r="L78" s="6" t="n"/>
      <c r="M78" s="6" t="n"/>
      <c r="N78" s="6" t="n"/>
      <c r="O78" s="6" t="n"/>
      <c r="P78" s="6" t="n"/>
      <c r="Q78" s="6" t="n"/>
      <c r="R78" s="6" t="n"/>
      <c r="S78" s="6" t="n"/>
      <c r="T78" s="6" t="n"/>
      <c r="U78" s="6" t="n"/>
      <c r="V78" s="6" t="n"/>
      <c r="W78" s="6" t="n"/>
      <c r="X78" s="6" t="n"/>
      <c r="Y78" s="6" t="n"/>
      <c r="Z78" s="6" t="n"/>
    </row>
    <row r="79">
      <c r="A79" s="6" t="n"/>
      <c r="B79" s="6" t="n"/>
      <c r="C79" s="6" t="n"/>
      <c r="D79" s="6" t="n"/>
      <c r="E79" s="6" t="n"/>
      <c r="F79" s="6" t="n"/>
      <c r="G79" s="6" t="n"/>
      <c r="H79" s="6" t="n"/>
      <c r="I79" s="6" t="n"/>
      <c r="J79" s="6" t="n"/>
      <c r="K79" s="6" t="n"/>
      <c r="L79" s="6" t="n"/>
      <c r="M79" s="6" t="n"/>
      <c r="N79" s="6" t="n"/>
      <c r="O79" s="6" t="n"/>
      <c r="P79" s="6" t="n"/>
      <c r="Q79" s="6" t="n"/>
      <c r="R79" s="6" t="n"/>
      <c r="S79" s="6" t="n"/>
      <c r="T79" s="6" t="n"/>
      <c r="U79" s="6" t="n"/>
      <c r="V79" s="6" t="n"/>
      <c r="W79" s="6" t="n"/>
      <c r="X79" s="6" t="n"/>
      <c r="Y79" s="6" t="n"/>
      <c r="Z79" s="6" t="n"/>
    </row>
    <row r="80">
      <c r="A80" s="6" t="n"/>
      <c r="B80" s="6" t="n"/>
      <c r="C80" s="6" t="n"/>
      <c r="D80" s="6" t="n"/>
      <c r="E80" s="6" t="n"/>
      <c r="F80" s="6" t="n"/>
      <c r="G80" s="6" t="n"/>
      <c r="H80" s="6" t="n"/>
      <c r="I80" s="6" t="n"/>
      <c r="J80" s="6" t="n"/>
      <c r="K80" s="6" t="n"/>
      <c r="L80" s="6" t="n"/>
      <c r="M80" s="6" t="n"/>
      <c r="N80" s="6" t="n"/>
      <c r="O80" s="6" t="n"/>
      <c r="P80" s="6" t="n"/>
      <c r="Q80" s="6" t="n"/>
      <c r="R80" s="6" t="n"/>
      <c r="S80" s="6" t="n"/>
      <c r="T80" s="6" t="n"/>
      <c r="U80" s="6" t="n"/>
      <c r="V80" s="6" t="n"/>
      <c r="W80" s="6" t="n"/>
      <c r="X80" s="6" t="n"/>
      <c r="Y80" s="6" t="n"/>
      <c r="Z80" s="6" t="n"/>
    </row>
    <row r="81">
      <c r="A81" s="6" t="n"/>
      <c r="B81" s="6" t="n"/>
      <c r="C81" s="6" t="n"/>
      <c r="D81" s="6" t="n"/>
      <c r="E81" s="6" t="n"/>
      <c r="F81" s="6" t="n"/>
      <c r="G81" s="6" t="n"/>
      <c r="H81" s="6" t="n"/>
      <c r="I81" s="6" t="n"/>
      <c r="J81" s="6" t="n"/>
      <c r="K81" s="6" t="n"/>
      <c r="L81" s="6" t="n"/>
      <c r="M81" s="6" t="n"/>
      <c r="N81" s="6" t="n"/>
      <c r="O81" s="6" t="n"/>
      <c r="P81" s="6" t="n"/>
      <c r="Q81" s="6" t="n"/>
      <c r="R81" s="6" t="n"/>
      <c r="S81" s="6" t="n"/>
      <c r="T81" s="6" t="n"/>
      <c r="U81" s="6" t="n"/>
      <c r="V81" s="6" t="n"/>
      <c r="W81" s="6" t="n"/>
      <c r="X81" s="6" t="n"/>
      <c r="Y81" s="6" t="n"/>
      <c r="Z81" s="6" t="n"/>
    </row>
    <row r="82">
      <c r="A82" s="6" t="n"/>
      <c r="B82" s="6" t="n"/>
      <c r="C82" s="6" t="n"/>
      <c r="D82" s="6" t="n"/>
      <c r="E82" s="6" t="n"/>
      <c r="F82" s="6" t="n"/>
      <c r="G82" s="6" t="n"/>
      <c r="H82" s="6" t="n"/>
      <c r="I82" s="6" t="n"/>
      <c r="J82" s="6" t="n"/>
      <c r="K82" s="6" t="n"/>
      <c r="L82" s="6" t="n"/>
      <c r="M82" s="6" t="n"/>
      <c r="N82" s="6" t="n"/>
      <c r="O82" s="6" t="n"/>
      <c r="P82" s="6" t="n"/>
      <c r="Q82" s="6" t="n"/>
      <c r="R82" s="6" t="n"/>
      <c r="S82" s="6" t="n"/>
      <c r="T82" s="6" t="n"/>
      <c r="U82" s="6" t="n"/>
      <c r="V82" s="6" t="n"/>
      <c r="W82" s="6" t="n"/>
      <c r="X82" s="6" t="n"/>
      <c r="Y82" s="6" t="n"/>
      <c r="Z82" s="6" t="n"/>
    </row>
    <row r="83">
      <c r="A83" s="6" t="n"/>
      <c r="B83" s="6" t="n"/>
      <c r="C83" s="6" t="n"/>
      <c r="D83" s="6" t="n"/>
      <c r="E83" s="6" t="n"/>
      <c r="F83" s="6" t="n"/>
      <c r="G83" s="6" t="n"/>
      <c r="H83" s="6" t="n"/>
      <c r="I83" s="6" t="n"/>
      <c r="J83" s="6" t="n"/>
      <c r="K83" s="6" t="n"/>
      <c r="L83" s="6" t="n"/>
      <c r="M83" s="6" t="n"/>
      <c r="N83" s="6" t="n"/>
      <c r="O83" s="6" t="n"/>
      <c r="P83" s="6" t="n"/>
      <c r="Q83" s="6" t="n"/>
      <c r="R83" s="6" t="n"/>
      <c r="S83" s="6" t="n"/>
      <c r="T83" s="6" t="n"/>
      <c r="U83" s="6" t="n"/>
      <c r="V83" s="6" t="n"/>
      <c r="W83" s="6" t="n"/>
      <c r="X83" s="6" t="n"/>
      <c r="Y83" s="6" t="n"/>
      <c r="Z83" s="6" t="n"/>
    </row>
    <row r="84">
      <c r="A84" s="6" t="n"/>
      <c r="B84" s="6" t="n"/>
      <c r="C84" s="6" t="n"/>
      <c r="D84" s="6" t="n"/>
      <c r="E84" s="6" t="n"/>
      <c r="F84" s="6" t="n"/>
      <c r="G84" s="6" t="n"/>
      <c r="H84" s="6" t="n"/>
      <c r="I84" s="6" t="n"/>
      <c r="J84" s="6" t="n"/>
      <c r="K84" s="6" t="n"/>
      <c r="L84" s="6" t="n"/>
      <c r="M84" s="6" t="n"/>
      <c r="N84" s="6" t="n"/>
      <c r="O84" s="6" t="n"/>
      <c r="P84" s="6" t="n"/>
      <c r="Q84" s="6" t="n"/>
      <c r="R84" s="6" t="n"/>
      <c r="S84" s="6" t="n"/>
      <c r="T84" s="6" t="n"/>
      <c r="U84" s="6" t="n"/>
      <c r="V84" s="6" t="n"/>
      <c r="W84" s="6" t="n"/>
      <c r="X84" s="6" t="n"/>
      <c r="Y84" s="6" t="n"/>
      <c r="Z84" s="6" t="n"/>
    </row>
    <row r="85">
      <c r="A85" s="6" t="n"/>
      <c r="B85" s="6" t="n"/>
      <c r="C85" s="6" t="n"/>
      <c r="D85" s="6" t="n"/>
      <c r="E85" s="6" t="n"/>
      <c r="F85" s="6" t="n"/>
      <c r="G85" s="6" t="n"/>
      <c r="H85" s="6" t="n"/>
      <c r="I85" s="6" t="n"/>
      <c r="J85" s="6" t="n"/>
      <c r="K85" s="6" t="n"/>
      <c r="L85" s="6" t="n"/>
      <c r="M85" s="6" t="n"/>
      <c r="N85" s="6" t="n"/>
      <c r="O85" s="6" t="n"/>
      <c r="P85" s="6" t="n"/>
      <c r="Q85" s="6" t="n"/>
      <c r="R85" s="6" t="n"/>
      <c r="S85" s="6" t="n"/>
      <c r="T85" s="6" t="n"/>
      <c r="U85" s="6" t="n"/>
      <c r="V85" s="6" t="n"/>
      <c r="W85" s="6" t="n"/>
      <c r="X85" s="6" t="n"/>
      <c r="Y85" s="6" t="n"/>
      <c r="Z85" s="6" t="n"/>
    </row>
    <row r="86">
      <c r="A86" s="6" t="n"/>
      <c r="B86" s="6" t="n"/>
      <c r="C86" s="6" t="n"/>
      <c r="D86" s="6" t="n"/>
      <c r="E86" s="6" t="n"/>
      <c r="F86" s="6" t="n"/>
      <c r="G86" s="6" t="n"/>
      <c r="H86" s="6" t="n"/>
      <c r="I86" s="6" t="n"/>
      <c r="J86" s="6" t="n"/>
      <c r="K86" s="6" t="n"/>
      <c r="L86" s="6" t="n"/>
      <c r="M86" s="6" t="n"/>
      <c r="N86" s="6" t="n"/>
      <c r="O86" s="6" t="n"/>
      <c r="P86" s="6" t="n"/>
      <c r="Q86" s="6" t="n"/>
      <c r="R86" s="6" t="n"/>
      <c r="S86" s="6" t="n"/>
      <c r="T86" s="6" t="n"/>
      <c r="U86" s="6" t="n"/>
      <c r="V86" s="6" t="n"/>
      <c r="W86" s="6" t="n"/>
      <c r="X86" s="6" t="n"/>
      <c r="Y86" s="6" t="n"/>
      <c r="Z86" s="6" t="n"/>
    </row>
    <row r="87">
      <c r="A87" s="6" t="n"/>
      <c r="B87" s="6" t="n"/>
      <c r="C87" s="6" t="n"/>
      <c r="D87" s="6" t="n"/>
      <c r="E87" s="6" t="n"/>
      <c r="F87" s="6" t="n"/>
      <c r="G87" s="6" t="n"/>
      <c r="H87" s="6" t="n"/>
      <c r="I87" s="6" t="n"/>
      <c r="J87" s="6" t="n"/>
      <c r="K87" s="6" t="n"/>
      <c r="L87" s="6" t="n"/>
      <c r="M87" s="6" t="n"/>
      <c r="N87" s="6" t="n"/>
      <c r="O87" s="6" t="n"/>
      <c r="P87" s="6" t="n"/>
      <c r="Q87" s="6" t="n"/>
      <c r="R87" s="6" t="n"/>
      <c r="S87" s="6" t="n"/>
      <c r="T87" s="6" t="n"/>
      <c r="U87" s="6" t="n"/>
      <c r="V87" s="6" t="n"/>
      <c r="W87" s="6" t="n"/>
      <c r="X87" s="6" t="n"/>
      <c r="Y87" s="6" t="n"/>
      <c r="Z87" s="6" t="n"/>
    </row>
    <row r="88">
      <c r="A88" s="6" t="n"/>
      <c r="B88" s="6" t="n"/>
      <c r="C88" s="6" t="n"/>
      <c r="D88" s="6" t="n"/>
      <c r="E88" s="6" t="n"/>
      <c r="F88" s="6" t="n"/>
      <c r="G88" s="6" t="n"/>
      <c r="H88" s="6" t="n"/>
      <c r="I88" s="6" t="n"/>
      <c r="J88" s="6" t="n"/>
      <c r="K88" s="6" t="n"/>
      <c r="L88" s="6" t="n"/>
      <c r="M88" s="6" t="n"/>
      <c r="N88" s="6" t="n"/>
      <c r="O88" s="6" t="n"/>
      <c r="P88" s="6" t="n"/>
      <c r="Q88" s="6" t="n"/>
      <c r="R88" s="6" t="n"/>
      <c r="S88" s="6" t="n"/>
      <c r="T88" s="6" t="n"/>
      <c r="U88" s="6" t="n"/>
      <c r="V88" s="6" t="n"/>
      <c r="W88" s="6" t="n"/>
      <c r="X88" s="6" t="n"/>
      <c r="Y88" s="6" t="n"/>
      <c r="Z88" s="6" t="n"/>
    </row>
    <row r="89">
      <c r="A89" s="6" t="n"/>
      <c r="B89" s="6" t="n"/>
      <c r="C89" s="6" t="n"/>
      <c r="D89" s="6" t="n"/>
      <c r="E89" s="6" t="n"/>
      <c r="F89" s="6" t="n"/>
      <c r="G89" s="6" t="n"/>
      <c r="H89" s="6" t="n"/>
      <c r="I89" s="6" t="n"/>
      <c r="J89" s="6" t="n"/>
      <c r="K89" s="6" t="n"/>
      <c r="L89" s="6" t="n"/>
      <c r="M89" s="6" t="n"/>
      <c r="N89" s="6" t="n"/>
      <c r="O89" s="6" t="n"/>
      <c r="P89" s="6" t="n"/>
      <c r="Q89" s="6" t="n"/>
      <c r="R89" s="6" t="n"/>
      <c r="S89" s="6" t="n"/>
      <c r="T89" s="6" t="n"/>
      <c r="U89" s="6" t="n"/>
      <c r="V89" s="6" t="n"/>
      <c r="W89" s="6" t="n"/>
      <c r="X89" s="6" t="n"/>
      <c r="Y89" s="6" t="n"/>
      <c r="Z89" s="6" t="n"/>
    </row>
    <row r="90">
      <c r="A90" s="6" t="n"/>
      <c r="B90" s="6" t="n"/>
      <c r="C90" s="6" t="n"/>
      <c r="D90" s="6" t="n"/>
      <c r="E90" s="6" t="n"/>
      <c r="F90" s="6" t="n"/>
      <c r="G90" s="6" t="n"/>
      <c r="H90" s="6" t="n"/>
      <c r="I90" s="6" t="n"/>
      <c r="J90" s="6" t="n"/>
      <c r="K90" s="6" t="n"/>
      <c r="L90" s="6" t="n"/>
      <c r="M90" s="6" t="n"/>
      <c r="N90" s="6" t="n"/>
      <c r="O90" s="6" t="n"/>
      <c r="P90" s="6" t="n"/>
      <c r="Q90" s="6" t="n"/>
      <c r="R90" s="6" t="n"/>
      <c r="S90" s="6" t="n"/>
      <c r="T90" s="6" t="n"/>
      <c r="U90" s="6" t="n"/>
      <c r="V90" s="6" t="n"/>
      <c r="W90" s="6" t="n"/>
      <c r="X90" s="6" t="n"/>
      <c r="Y90" s="6" t="n"/>
      <c r="Z90" s="6" t="n"/>
    </row>
    <row r="91">
      <c r="A91" s="6" t="n"/>
      <c r="B91" s="6" t="n"/>
      <c r="C91" s="6" t="n"/>
      <c r="D91" s="6" t="n"/>
      <c r="E91" s="6" t="n"/>
      <c r="F91" s="6" t="n"/>
      <c r="G91" s="6" t="n"/>
      <c r="H91" s="6" t="n"/>
      <c r="I91" s="6" t="n"/>
      <c r="J91" s="6" t="n"/>
      <c r="K91" s="6" t="n"/>
      <c r="L91" s="6" t="n"/>
      <c r="M91" s="6" t="n"/>
      <c r="N91" s="6" t="n"/>
      <c r="O91" s="6" t="n"/>
      <c r="P91" s="6" t="n"/>
      <c r="Q91" s="6" t="n"/>
      <c r="R91" s="6" t="n"/>
      <c r="S91" s="6" t="n"/>
      <c r="T91" s="6" t="n"/>
      <c r="U91" s="6" t="n"/>
      <c r="V91" s="6" t="n"/>
      <c r="W91" s="6" t="n"/>
      <c r="X91" s="6" t="n"/>
      <c r="Y91" s="6" t="n"/>
      <c r="Z91" s="6" t="n"/>
    </row>
    <row r="92">
      <c r="A92" s="6" t="n"/>
      <c r="B92" s="6" t="n"/>
      <c r="C92" s="6" t="n"/>
      <c r="D92" s="6" t="n"/>
      <c r="E92" s="6" t="n"/>
      <c r="F92" s="6" t="n"/>
      <c r="G92" s="6" t="n"/>
      <c r="H92" s="6" t="n"/>
      <c r="I92" s="6" t="n"/>
      <c r="J92" s="6" t="n"/>
      <c r="K92" s="6" t="n"/>
      <c r="L92" s="6" t="n"/>
      <c r="M92" s="6" t="n"/>
      <c r="N92" s="6" t="n"/>
      <c r="O92" s="6" t="n"/>
      <c r="P92" s="6" t="n"/>
      <c r="Q92" s="6" t="n"/>
      <c r="R92" s="6" t="n"/>
      <c r="S92" s="6" t="n"/>
      <c r="T92" s="6" t="n"/>
      <c r="U92" s="6" t="n"/>
      <c r="V92" s="6" t="n"/>
      <c r="W92" s="6" t="n"/>
      <c r="X92" s="6" t="n"/>
      <c r="Y92" s="6" t="n"/>
      <c r="Z92" s="6" t="n"/>
    </row>
    <row r="93">
      <c r="A93" s="6" t="n"/>
      <c r="B93" s="6" t="n"/>
      <c r="C93" s="6" t="n"/>
      <c r="D93" s="6" t="n"/>
      <c r="E93" s="6" t="n"/>
      <c r="F93" s="6" t="n"/>
      <c r="G93" s="6" t="n"/>
      <c r="H93" s="6" t="n"/>
      <c r="I93" s="6" t="n"/>
      <c r="J93" s="6" t="n"/>
      <c r="K93" s="6" t="n"/>
      <c r="L93" s="6" t="n"/>
      <c r="M93" s="6" t="n"/>
      <c r="N93" s="6" t="n"/>
      <c r="O93" s="6" t="n"/>
      <c r="P93" s="6" t="n"/>
      <c r="Q93" s="6" t="n"/>
      <c r="R93" s="6" t="n"/>
      <c r="S93" s="6" t="n"/>
      <c r="T93" s="6" t="n"/>
      <c r="U93" s="6" t="n"/>
      <c r="V93" s="6" t="n"/>
      <c r="W93" s="6" t="n"/>
      <c r="X93" s="6" t="n"/>
      <c r="Y93" s="6" t="n"/>
      <c r="Z93" s="6" t="n"/>
    </row>
    <row r="94">
      <c r="A94" s="6" t="n"/>
      <c r="B94" s="6" t="n"/>
      <c r="C94" s="6" t="n"/>
      <c r="D94" s="6" t="n"/>
      <c r="E94" s="6" t="n"/>
      <c r="F94" s="6" t="n"/>
      <c r="G94" s="6" t="n"/>
      <c r="H94" s="6" t="n"/>
      <c r="I94" s="6" t="n"/>
      <c r="J94" s="6" t="n"/>
      <c r="K94" s="6" t="n"/>
      <c r="L94" s="6" t="n"/>
      <c r="M94" s="6" t="n"/>
      <c r="N94" s="6" t="n"/>
      <c r="O94" s="6" t="n"/>
      <c r="P94" s="6" t="n"/>
      <c r="Q94" s="6" t="n"/>
      <c r="R94" s="6" t="n"/>
      <c r="S94" s="6" t="n"/>
      <c r="T94" s="6" t="n"/>
      <c r="U94" s="6" t="n"/>
      <c r="V94" s="6" t="n"/>
      <c r="W94" s="6" t="n"/>
      <c r="X94" s="6" t="n"/>
      <c r="Y94" s="6" t="n"/>
      <c r="Z94" s="6" t="n"/>
    </row>
    <row r="95">
      <c r="A95" s="6" t="n"/>
      <c r="B95" s="6" t="n"/>
      <c r="C95" s="6" t="n"/>
      <c r="D95" s="6" t="n"/>
      <c r="E95" s="6" t="n"/>
      <c r="F95" s="6" t="n"/>
      <c r="G95" s="6" t="n"/>
      <c r="H95" s="6" t="n"/>
      <c r="I95" s="6" t="n"/>
      <c r="J95" s="6" t="n"/>
      <c r="K95" s="6" t="n"/>
      <c r="L95" s="6" t="n"/>
      <c r="M95" s="6" t="n"/>
      <c r="N95" s="6" t="n"/>
      <c r="O95" s="6" t="n"/>
      <c r="P95" s="6" t="n"/>
      <c r="Q95" s="6" t="n"/>
      <c r="R95" s="6" t="n"/>
      <c r="S95" s="6" t="n"/>
      <c r="T95" s="6" t="n"/>
      <c r="U95" s="6" t="n"/>
      <c r="V95" s="6" t="n"/>
      <c r="W95" s="6" t="n"/>
      <c r="X95" s="6" t="n"/>
      <c r="Y95" s="6" t="n"/>
      <c r="Z95" s="6" t="n"/>
    </row>
    <row r="96">
      <c r="A96" s="6" t="n"/>
      <c r="B96" s="6" t="n"/>
      <c r="C96" s="6" t="n"/>
      <c r="D96" s="6" t="n"/>
      <c r="E96" s="6" t="n"/>
      <c r="F96" s="6" t="n"/>
      <c r="G96" s="6" t="n"/>
      <c r="H96" s="6" t="n"/>
      <c r="I96" s="6" t="n"/>
      <c r="J96" s="6" t="n"/>
      <c r="K96" s="6" t="n"/>
      <c r="L96" s="6" t="n"/>
      <c r="M96" s="6" t="n"/>
      <c r="N96" s="6" t="n"/>
      <c r="O96" s="6" t="n"/>
      <c r="P96" s="6" t="n"/>
      <c r="Q96" s="6" t="n"/>
      <c r="R96" s="6" t="n"/>
      <c r="S96" s="6" t="n"/>
      <c r="T96" s="6" t="n"/>
      <c r="U96" s="6" t="n"/>
      <c r="V96" s="6" t="n"/>
      <c r="W96" s="6" t="n"/>
      <c r="X96" s="6" t="n"/>
      <c r="Y96" s="6" t="n"/>
      <c r="Z96" s="6" t="n"/>
    </row>
    <row r="97">
      <c r="A97" s="6" t="n"/>
      <c r="B97" s="6" t="n"/>
      <c r="C97" s="6" t="n"/>
      <c r="D97" s="6" t="n"/>
      <c r="E97" s="6" t="n"/>
      <c r="F97" s="6" t="n"/>
      <c r="G97" s="6" t="n"/>
      <c r="H97" s="6" t="n"/>
      <c r="I97" s="6" t="n"/>
      <c r="J97" s="6" t="n"/>
      <c r="K97" s="6" t="n"/>
      <c r="L97" s="6" t="n"/>
      <c r="M97" s="6" t="n"/>
      <c r="N97" s="6" t="n"/>
      <c r="O97" s="6" t="n"/>
      <c r="P97" s="6" t="n"/>
      <c r="Q97" s="6" t="n"/>
      <c r="R97" s="6" t="n"/>
      <c r="S97" s="6" t="n"/>
      <c r="T97" s="6" t="n"/>
      <c r="U97" s="6" t="n"/>
      <c r="V97" s="6" t="n"/>
      <c r="W97" s="6" t="n"/>
      <c r="X97" s="6" t="n"/>
      <c r="Y97" s="6" t="n"/>
      <c r="Z97" s="6" t="n"/>
    </row>
    <row r="98">
      <c r="A98" s="6" t="n"/>
      <c r="B98" s="6" t="n"/>
      <c r="C98" s="6" t="n"/>
      <c r="D98" s="6" t="n"/>
      <c r="E98" s="6" t="n"/>
      <c r="F98" s="6" t="n"/>
      <c r="G98" s="6" t="n"/>
      <c r="H98" s="6" t="n"/>
      <c r="I98" s="6" t="n"/>
      <c r="J98" s="6" t="n"/>
      <c r="K98" s="6" t="n"/>
      <c r="L98" s="6" t="n"/>
      <c r="M98" s="6" t="n"/>
      <c r="N98" s="6" t="n"/>
      <c r="O98" s="6" t="n"/>
      <c r="P98" s="6" t="n"/>
      <c r="Q98" s="6" t="n"/>
      <c r="R98" s="6" t="n"/>
      <c r="S98" s="6" t="n"/>
      <c r="T98" s="6" t="n"/>
      <c r="U98" s="6" t="n"/>
      <c r="V98" s="6" t="n"/>
      <c r="W98" s="6" t="n"/>
      <c r="X98" s="6" t="n"/>
      <c r="Y98" s="6" t="n"/>
      <c r="Z98" s="6" t="n"/>
    </row>
    <row r="99">
      <c r="A99" s="6" t="n"/>
      <c r="B99" s="6" t="n"/>
      <c r="C99" s="6" t="n"/>
      <c r="D99" s="6" t="n"/>
      <c r="E99" s="6" t="n"/>
      <c r="F99" s="6" t="n"/>
      <c r="G99" s="6" t="n"/>
      <c r="H99" s="6" t="n"/>
      <c r="I99" s="6" t="n"/>
      <c r="J99" s="6" t="n"/>
      <c r="K99" s="6" t="n"/>
      <c r="L99" s="6" t="n"/>
      <c r="M99" s="6" t="n"/>
      <c r="N99" s="6" t="n"/>
      <c r="O99" s="6" t="n"/>
      <c r="P99" s="6" t="n"/>
      <c r="Q99" s="6" t="n"/>
      <c r="R99" s="6" t="n"/>
      <c r="S99" s="6" t="n"/>
      <c r="T99" s="6" t="n"/>
      <c r="U99" s="6" t="n"/>
      <c r="V99" s="6" t="n"/>
      <c r="W99" s="6" t="n"/>
      <c r="X99" s="6" t="n"/>
      <c r="Y99" s="6" t="n"/>
      <c r="Z99" s="6" t="n"/>
    </row>
    <row r="100">
      <c r="A100" s="6" t="n"/>
      <c r="B100" s="6" t="n"/>
      <c r="C100" s="6" t="n"/>
      <c r="D100" s="6" t="n"/>
      <c r="E100" s="6" t="n"/>
      <c r="F100" s="6" t="n"/>
      <c r="G100" s="6" t="n"/>
      <c r="H100" s="6" t="n"/>
      <c r="I100" s="6" t="n"/>
      <c r="J100" s="6" t="n"/>
      <c r="K100" s="6" t="n"/>
      <c r="L100" s="6" t="n"/>
      <c r="M100" s="6" t="n"/>
      <c r="N100" s="6" t="n"/>
      <c r="O100" s="6" t="n"/>
      <c r="P100" s="6" t="n"/>
      <c r="Q100" s="6" t="n"/>
      <c r="R100" s="6" t="n"/>
      <c r="S100" s="6" t="n"/>
      <c r="T100" s="6" t="n"/>
      <c r="U100" s="6" t="n"/>
      <c r="V100" s="6" t="n"/>
      <c r="W100" s="6" t="n"/>
      <c r="X100" s="6" t="n"/>
      <c r="Y100" s="6" t="n"/>
      <c r="Z100" s="6" t="n"/>
    </row>
    <row r="101">
      <c r="A101" s="6" t="n"/>
      <c r="B101" s="6" t="n"/>
      <c r="C101" s="6" t="n"/>
      <c r="D101" s="6" t="n"/>
      <c r="E101" s="6" t="n"/>
      <c r="F101" s="6" t="n"/>
      <c r="G101" s="6" t="n"/>
      <c r="H101" s="6" t="n"/>
      <c r="I101" s="6" t="n"/>
      <c r="J101" s="6" t="n"/>
      <c r="K101" s="6" t="n"/>
      <c r="L101" s="6" t="n"/>
      <c r="M101" s="6" t="n"/>
      <c r="N101" s="6" t="n"/>
      <c r="O101" s="6" t="n"/>
      <c r="P101" s="6" t="n"/>
      <c r="Q101" s="6" t="n"/>
      <c r="R101" s="6" t="n"/>
      <c r="S101" s="6" t="n"/>
      <c r="T101" s="6" t="n"/>
      <c r="U101" s="6" t="n"/>
      <c r="V101" s="6" t="n"/>
      <c r="W101" s="6" t="n"/>
      <c r="X101" s="6" t="n"/>
      <c r="Y101" s="6" t="n"/>
      <c r="Z101" s="6" t="n"/>
    </row>
    <row r="102">
      <c r="A102" s="6" t="n"/>
      <c r="B102" s="6" t="n"/>
      <c r="C102" s="6" t="n"/>
      <c r="D102" s="6" t="n"/>
      <c r="E102" s="6" t="n"/>
      <c r="F102" s="6" t="n"/>
      <c r="G102" s="6" t="n"/>
      <c r="H102" s="6" t="n"/>
      <c r="I102" s="6" t="n"/>
      <c r="J102" s="6" t="n"/>
      <c r="K102" s="6" t="n"/>
      <c r="L102" s="6" t="n"/>
      <c r="M102" s="6" t="n"/>
      <c r="N102" s="6" t="n"/>
      <c r="O102" s="6" t="n"/>
      <c r="P102" s="6" t="n"/>
      <c r="Q102" s="6" t="n"/>
      <c r="R102" s="6" t="n"/>
      <c r="S102" s="6" t="n"/>
      <c r="T102" s="6" t="n"/>
      <c r="U102" s="6" t="n"/>
      <c r="V102" s="6" t="n"/>
      <c r="W102" s="6" t="n"/>
      <c r="X102" s="6" t="n"/>
      <c r="Y102" s="6" t="n"/>
      <c r="Z102" s="6" t="n"/>
    </row>
    <row r="103">
      <c r="A103" s="6" t="n"/>
      <c r="B103" s="6" t="n"/>
      <c r="C103" s="6" t="n"/>
      <c r="D103" s="6" t="n"/>
      <c r="E103" s="6" t="n"/>
      <c r="F103" s="6" t="n"/>
      <c r="G103" s="6" t="n"/>
      <c r="H103" s="6" t="n"/>
      <c r="I103" s="6" t="n"/>
      <c r="J103" s="6" t="n"/>
      <c r="K103" s="6" t="n"/>
      <c r="L103" s="6" t="n"/>
      <c r="M103" s="6" t="n"/>
      <c r="N103" s="6" t="n"/>
      <c r="O103" s="6" t="n"/>
      <c r="P103" s="6" t="n"/>
      <c r="Q103" s="6" t="n"/>
      <c r="R103" s="6" t="n"/>
      <c r="S103" s="6" t="n"/>
      <c r="T103" s="6" t="n"/>
      <c r="U103" s="6" t="n"/>
      <c r="V103" s="6" t="n"/>
      <c r="W103" s="6" t="n"/>
      <c r="X103" s="6" t="n"/>
      <c r="Y103" s="6" t="n"/>
      <c r="Z103" s="6" t="n"/>
    </row>
    <row r="104">
      <c r="A104" s="6" t="n"/>
      <c r="B104" s="6" t="n"/>
      <c r="C104" s="6" t="n"/>
      <c r="D104" s="6" t="n"/>
      <c r="E104" s="6" t="n"/>
      <c r="F104" s="6" t="n"/>
      <c r="G104" s="6" t="n"/>
      <c r="H104" s="6" t="n"/>
      <c r="I104" s="6" t="n"/>
      <c r="J104" s="6" t="n"/>
      <c r="K104" s="6" t="n"/>
      <c r="L104" s="6" t="n"/>
      <c r="M104" s="6" t="n"/>
      <c r="N104" s="6" t="n"/>
      <c r="O104" s="6" t="n"/>
      <c r="P104" s="6" t="n"/>
      <c r="Q104" s="6" t="n"/>
      <c r="R104" s="6" t="n"/>
      <c r="S104" s="6" t="n"/>
      <c r="T104" s="6" t="n"/>
      <c r="U104" s="6" t="n"/>
      <c r="V104" s="6" t="n"/>
      <c r="W104" s="6" t="n"/>
      <c r="X104" s="6" t="n"/>
      <c r="Y104" s="6" t="n"/>
      <c r="Z104" s="6" t="n"/>
    </row>
    <row r="105">
      <c r="A105" s="6" t="n"/>
      <c r="B105" s="6" t="n"/>
      <c r="C105" s="6" t="n"/>
      <c r="D105" s="6" t="n"/>
      <c r="E105" s="6" t="n"/>
      <c r="F105" s="6" t="n"/>
      <c r="G105" s="6" t="n"/>
      <c r="H105" s="6" t="n"/>
      <c r="I105" s="6" t="n"/>
      <c r="J105" s="6" t="n"/>
      <c r="K105" s="6" t="n"/>
      <c r="L105" s="6" t="n"/>
      <c r="M105" s="6" t="n"/>
      <c r="N105" s="6" t="n"/>
      <c r="O105" s="6" t="n"/>
      <c r="P105" s="6" t="n"/>
      <c r="Q105" s="6" t="n"/>
      <c r="R105" s="6" t="n"/>
      <c r="S105" s="6" t="n"/>
      <c r="T105" s="6" t="n"/>
      <c r="U105" s="6" t="n"/>
      <c r="V105" s="6" t="n"/>
      <c r="W105" s="6" t="n"/>
      <c r="X105" s="6" t="n"/>
      <c r="Y105" s="6" t="n"/>
      <c r="Z105" s="6" t="n"/>
    </row>
    <row r="106">
      <c r="A106" s="6" t="n"/>
      <c r="B106" s="6" t="n"/>
      <c r="C106" s="6" t="n"/>
      <c r="D106" s="6" t="n"/>
      <c r="E106" s="6" t="n"/>
      <c r="F106" s="6" t="n"/>
      <c r="G106" s="6" t="n"/>
      <c r="H106" s="6" t="n"/>
      <c r="I106" s="6" t="n"/>
      <c r="J106" s="6" t="n"/>
      <c r="K106" s="6" t="n"/>
      <c r="L106" s="6" t="n"/>
      <c r="M106" s="6" t="n"/>
      <c r="N106" s="6" t="n"/>
      <c r="O106" s="6" t="n"/>
      <c r="P106" s="6" t="n"/>
      <c r="Q106" s="6" t="n"/>
      <c r="R106" s="6" t="n"/>
      <c r="S106" s="6" t="n"/>
      <c r="T106" s="6" t="n"/>
      <c r="U106" s="6" t="n"/>
      <c r="V106" s="6" t="n"/>
      <c r="W106" s="6" t="n"/>
      <c r="X106" s="6" t="n"/>
      <c r="Y106" s="6" t="n"/>
      <c r="Z106" s="6" t="n"/>
    </row>
    <row r="107">
      <c r="A107" s="6" t="n"/>
      <c r="B107" s="6" t="n"/>
      <c r="C107" s="6" t="n"/>
      <c r="D107" s="6" t="n"/>
      <c r="E107" s="6" t="n"/>
      <c r="F107" s="6" t="n"/>
      <c r="G107" s="6" t="n"/>
      <c r="H107" s="6" t="n"/>
      <c r="I107" s="6" t="n"/>
      <c r="J107" s="6" t="n"/>
      <c r="K107" s="6" t="n"/>
      <c r="L107" s="6" t="n"/>
      <c r="M107" s="6" t="n"/>
      <c r="N107" s="6" t="n"/>
      <c r="O107" s="6" t="n"/>
      <c r="P107" s="6" t="n"/>
      <c r="Q107" s="6" t="n"/>
      <c r="R107" s="6" t="n"/>
      <c r="S107" s="6" t="n"/>
      <c r="T107" s="6" t="n"/>
      <c r="U107" s="6" t="n"/>
      <c r="V107" s="6" t="n"/>
      <c r="W107" s="6" t="n"/>
      <c r="X107" s="6" t="n"/>
      <c r="Y107" s="6" t="n"/>
      <c r="Z107" s="6" t="n"/>
    </row>
    <row r="108">
      <c r="A108" s="6" t="n"/>
      <c r="B108" s="6" t="n"/>
      <c r="C108" s="6" t="n"/>
      <c r="D108" s="6" t="n"/>
      <c r="E108" s="6" t="n"/>
      <c r="F108" s="6" t="n"/>
      <c r="G108" s="6" t="n"/>
      <c r="H108" s="6" t="n"/>
      <c r="I108" s="6" t="n"/>
      <c r="J108" s="6" t="n"/>
      <c r="K108" s="6" t="n"/>
      <c r="L108" s="6" t="n"/>
      <c r="M108" s="6" t="n"/>
      <c r="N108" s="6" t="n"/>
      <c r="O108" s="6" t="n"/>
      <c r="P108" s="6" t="n"/>
      <c r="Q108" s="6" t="n"/>
      <c r="R108" s="6" t="n"/>
      <c r="S108" s="6" t="n"/>
      <c r="T108" s="6" t="n"/>
      <c r="U108" s="6" t="n"/>
      <c r="V108" s="6" t="n"/>
      <c r="W108" s="6" t="n"/>
      <c r="X108" s="6" t="n"/>
      <c r="Y108" s="6" t="n"/>
      <c r="Z108" s="6" t="n"/>
    </row>
    <row r="109">
      <c r="A109" s="6" t="n"/>
      <c r="B109" s="6" t="n"/>
      <c r="C109" s="6" t="n"/>
      <c r="D109" s="6" t="n"/>
      <c r="E109" s="6" t="n"/>
      <c r="F109" s="6" t="n"/>
      <c r="G109" s="6" t="n"/>
      <c r="H109" s="6" t="n"/>
      <c r="I109" s="6" t="n"/>
      <c r="J109" s="6" t="n"/>
      <c r="K109" s="6" t="n"/>
      <c r="L109" s="6" t="n"/>
      <c r="M109" s="6" t="n"/>
      <c r="N109" s="6" t="n"/>
      <c r="O109" s="6" t="n"/>
      <c r="P109" s="6" t="n"/>
      <c r="Q109" s="6" t="n"/>
      <c r="R109" s="6" t="n"/>
      <c r="S109" s="6" t="n"/>
      <c r="T109" s="6" t="n"/>
      <c r="U109" s="6" t="n"/>
      <c r="V109" s="6" t="n"/>
      <c r="W109" s="6" t="n"/>
      <c r="X109" s="6" t="n"/>
      <c r="Y109" s="6" t="n"/>
      <c r="Z109" s="6" t="n"/>
    </row>
    <row r="110">
      <c r="A110" s="6" t="n"/>
      <c r="B110" s="6" t="n"/>
      <c r="C110" s="6" t="n"/>
      <c r="D110" s="6" t="n"/>
      <c r="E110" s="6" t="n"/>
      <c r="F110" s="6" t="n"/>
      <c r="G110" s="6" t="n"/>
      <c r="H110" s="6" t="n"/>
      <c r="I110" s="6" t="n"/>
      <c r="J110" s="6" t="n"/>
      <c r="K110" s="6" t="n"/>
      <c r="L110" s="6" t="n"/>
      <c r="M110" s="6" t="n"/>
      <c r="N110" s="6" t="n"/>
      <c r="O110" s="6" t="n"/>
      <c r="P110" s="6" t="n"/>
      <c r="Q110" s="6" t="n"/>
      <c r="R110" s="6" t="n"/>
      <c r="S110" s="6" t="n"/>
      <c r="T110" s="6" t="n"/>
      <c r="U110" s="6" t="n"/>
      <c r="V110" s="6" t="n"/>
      <c r="W110" s="6" t="n"/>
      <c r="X110" s="6" t="n"/>
      <c r="Y110" s="6" t="n"/>
      <c r="Z110" s="6" t="n"/>
    </row>
    <row r="111">
      <c r="A111" s="6" t="n"/>
      <c r="B111" s="6" t="n"/>
      <c r="C111" s="6" t="n"/>
      <c r="D111" s="6" t="n"/>
      <c r="E111" s="6" t="n"/>
      <c r="F111" s="6" t="n"/>
      <c r="G111" s="6" t="n"/>
      <c r="H111" s="6" t="n"/>
      <c r="I111" s="6" t="n"/>
      <c r="J111" s="6" t="n"/>
      <c r="K111" s="6" t="n"/>
      <c r="L111" s="6" t="n"/>
      <c r="M111" s="6" t="n"/>
      <c r="N111" s="6" t="n"/>
      <c r="O111" s="6" t="n"/>
      <c r="P111" s="6" t="n"/>
      <c r="Q111" s="6" t="n"/>
      <c r="R111" s="6" t="n"/>
      <c r="S111" s="6" t="n"/>
      <c r="T111" s="6" t="n"/>
      <c r="U111" s="6" t="n"/>
      <c r="V111" s="6" t="n"/>
      <c r="W111" s="6" t="n"/>
      <c r="X111" s="6" t="n"/>
      <c r="Y111" s="6" t="n"/>
      <c r="Z111" s="6" t="n"/>
    </row>
    <row r="112">
      <c r="A112" s="6" t="n"/>
      <c r="B112" s="6" t="n"/>
      <c r="C112" s="6" t="n"/>
      <c r="D112" s="6" t="n"/>
      <c r="E112" s="6" t="n"/>
      <c r="F112" s="6" t="n"/>
      <c r="G112" s="6" t="n"/>
      <c r="H112" s="6" t="n"/>
      <c r="I112" s="6" t="n"/>
      <c r="J112" s="6" t="n"/>
      <c r="K112" s="6" t="n"/>
      <c r="L112" s="6" t="n"/>
      <c r="M112" s="6" t="n"/>
      <c r="N112" s="6" t="n"/>
      <c r="O112" s="6" t="n"/>
      <c r="P112" s="6" t="n"/>
      <c r="Q112" s="6" t="n"/>
      <c r="R112" s="6" t="n"/>
      <c r="S112" s="6" t="n"/>
      <c r="T112" s="6" t="n"/>
      <c r="U112" s="6" t="n"/>
      <c r="V112" s="6" t="n"/>
      <c r="W112" s="6" t="n"/>
      <c r="X112" s="6" t="n"/>
      <c r="Y112" s="6" t="n"/>
      <c r="Z112" s="6" t="n"/>
    </row>
    <row r="113">
      <c r="A113" s="6" t="n"/>
      <c r="B113" s="6" t="n"/>
      <c r="C113" s="6" t="n"/>
      <c r="D113" s="6" t="n"/>
      <c r="E113" s="6" t="n"/>
      <c r="F113" s="6" t="n"/>
      <c r="G113" s="6" t="n"/>
      <c r="H113" s="6" t="n"/>
      <c r="I113" s="6" t="n"/>
      <c r="J113" s="6" t="n"/>
      <c r="K113" s="6" t="n"/>
      <c r="L113" s="6" t="n"/>
      <c r="M113" s="6" t="n"/>
      <c r="N113" s="6" t="n"/>
      <c r="O113" s="6" t="n"/>
      <c r="P113" s="6" t="n"/>
      <c r="Q113" s="6" t="n"/>
      <c r="R113" s="6" t="n"/>
      <c r="S113" s="6" t="n"/>
      <c r="T113" s="6" t="n"/>
      <c r="U113" s="6" t="n"/>
      <c r="V113" s="6" t="n"/>
      <c r="W113" s="6" t="n"/>
      <c r="X113" s="6" t="n"/>
      <c r="Y113" s="6" t="n"/>
      <c r="Z113" s="6" t="n"/>
    </row>
    <row r="114">
      <c r="A114" s="6" t="n"/>
      <c r="B114" s="6" t="n"/>
      <c r="C114" s="6" t="n"/>
      <c r="D114" s="6" t="n"/>
      <c r="E114" s="6" t="n"/>
      <c r="F114" s="6" t="n"/>
      <c r="G114" s="6" t="n"/>
      <c r="H114" s="6" t="n"/>
      <c r="I114" s="6" t="n"/>
      <c r="J114" s="6" t="n"/>
      <c r="K114" s="6" t="n"/>
      <c r="L114" s="6" t="n"/>
      <c r="M114" s="6" t="n"/>
      <c r="N114" s="6" t="n"/>
      <c r="O114" s="6" t="n"/>
      <c r="P114" s="6" t="n"/>
      <c r="Q114" s="6" t="n"/>
      <c r="R114" s="6" t="n"/>
      <c r="S114" s="6" t="n"/>
      <c r="T114" s="6" t="n"/>
      <c r="U114" s="6" t="n"/>
      <c r="V114" s="6" t="n"/>
      <c r="W114" s="6" t="n"/>
      <c r="X114" s="6" t="n"/>
      <c r="Y114" s="6" t="n"/>
      <c r="Z114" s="6" t="n"/>
    </row>
    <row r="115">
      <c r="A115" s="6" t="n"/>
      <c r="B115" s="6" t="n"/>
      <c r="C115" s="6" t="n"/>
      <c r="D115" s="6" t="n"/>
      <c r="E115" s="6" t="n"/>
      <c r="F115" s="6" t="n"/>
      <c r="G115" s="6" t="n"/>
      <c r="H115" s="6" t="n"/>
      <c r="I115" s="6" t="n"/>
      <c r="J115" s="6" t="n"/>
      <c r="K115" s="6" t="n"/>
      <c r="L115" s="6" t="n"/>
      <c r="M115" s="6" t="n"/>
      <c r="N115" s="6" t="n"/>
      <c r="O115" s="6" t="n"/>
      <c r="P115" s="6" t="n"/>
      <c r="Q115" s="6" t="n"/>
      <c r="R115" s="6" t="n"/>
      <c r="S115" s="6" t="n"/>
      <c r="T115" s="6" t="n"/>
      <c r="U115" s="6" t="n"/>
      <c r="V115" s="6" t="n"/>
      <c r="W115" s="6" t="n"/>
      <c r="X115" s="6" t="n"/>
      <c r="Y115" s="6" t="n"/>
      <c r="Z115" s="6" t="n"/>
    </row>
    <row r="116">
      <c r="A116" s="6" t="n"/>
      <c r="B116" s="6" t="n"/>
      <c r="C116" s="6" t="n"/>
      <c r="D116" s="6" t="n"/>
      <c r="E116" s="6" t="n"/>
      <c r="F116" s="6" t="n"/>
      <c r="G116" s="6" t="n"/>
      <c r="H116" s="6" t="n"/>
      <c r="I116" s="6" t="n"/>
      <c r="J116" s="6" t="n"/>
      <c r="K116" s="6" t="n"/>
      <c r="L116" s="6" t="n"/>
      <c r="M116" s="6" t="n"/>
      <c r="N116" s="6" t="n"/>
      <c r="O116" s="6" t="n"/>
      <c r="P116" s="6" t="n"/>
      <c r="Q116" s="6" t="n"/>
      <c r="R116" s="6" t="n"/>
      <c r="S116" s="6" t="n"/>
      <c r="T116" s="6" t="n"/>
      <c r="U116" s="6" t="n"/>
      <c r="V116" s="6" t="n"/>
      <c r="W116" s="6" t="n"/>
      <c r="X116" s="6" t="n"/>
      <c r="Y116" s="6" t="n"/>
      <c r="Z116" s="6" t="n"/>
    </row>
    <row r="117">
      <c r="A117" s="6" t="n"/>
      <c r="B117" s="6" t="n"/>
      <c r="C117" s="6" t="n"/>
      <c r="D117" s="6" t="n"/>
      <c r="E117" s="6" t="n"/>
      <c r="F117" s="6" t="n"/>
      <c r="G117" s="6" t="n"/>
      <c r="H117" s="6" t="n"/>
      <c r="I117" s="6" t="n"/>
      <c r="J117" s="6" t="n"/>
      <c r="K117" s="6" t="n"/>
      <c r="L117" s="6" t="n"/>
      <c r="M117" s="6" t="n"/>
      <c r="N117" s="6" t="n"/>
      <c r="O117" s="6" t="n"/>
      <c r="P117" s="6" t="n"/>
      <c r="Q117" s="6" t="n"/>
      <c r="R117" s="6" t="n"/>
      <c r="S117" s="6" t="n"/>
      <c r="T117" s="6" t="n"/>
      <c r="U117" s="6" t="n"/>
      <c r="V117" s="6" t="n"/>
      <c r="W117" s="6" t="n"/>
      <c r="X117" s="6" t="n"/>
      <c r="Y117" s="6" t="n"/>
      <c r="Z117" s="6" t="n"/>
    </row>
    <row r="118">
      <c r="A118" s="6" t="n"/>
      <c r="B118" s="6" t="n"/>
      <c r="C118" s="6" t="n"/>
      <c r="D118" s="6" t="n"/>
      <c r="E118" s="6" t="n"/>
      <c r="F118" s="6" t="n"/>
      <c r="G118" s="6" t="n"/>
      <c r="H118" s="6" t="n"/>
      <c r="I118" s="6" t="n"/>
      <c r="J118" s="6" t="n"/>
      <c r="K118" s="6" t="n"/>
      <c r="L118" s="6" t="n"/>
      <c r="M118" s="6" t="n"/>
      <c r="N118" s="6" t="n"/>
      <c r="O118" s="6" t="n"/>
      <c r="P118" s="6" t="n"/>
      <c r="Q118" s="6" t="n"/>
      <c r="R118" s="6" t="n"/>
      <c r="S118" s="6" t="n"/>
      <c r="T118" s="6" t="n"/>
      <c r="U118" s="6" t="n"/>
      <c r="V118" s="6" t="n"/>
      <c r="W118" s="6" t="n"/>
      <c r="X118" s="6" t="n"/>
      <c r="Y118" s="6" t="n"/>
      <c r="Z118" s="6" t="n"/>
    </row>
    <row r="119">
      <c r="A119" s="6" t="n"/>
      <c r="B119" s="6" t="n"/>
      <c r="C119" s="6" t="n"/>
      <c r="D119" s="6" t="n"/>
      <c r="E119" s="6" t="n"/>
      <c r="F119" s="6" t="n"/>
      <c r="G119" s="6" t="n"/>
      <c r="H119" s="6" t="n"/>
      <c r="I119" s="6" t="n"/>
      <c r="J119" s="6" t="n"/>
      <c r="K119" s="6" t="n"/>
      <c r="L119" s="6" t="n"/>
      <c r="M119" s="6" t="n"/>
      <c r="N119" s="6" t="n"/>
      <c r="O119" s="6" t="n"/>
      <c r="P119" s="6" t="n"/>
      <c r="Q119" s="6" t="n"/>
      <c r="R119" s="6" t="n"/>
      <c r="S119" s="6" t="n"/>
      <c r="T119" s="6" t="n"/>
      <c r="U119" s="6" t="n"/>
      <c r="V119" s="6" t="n"/>
      <c r="W119" s="6" t="n"/>
      <c r="X119" s="6" t="n"/>
      <c r="Y119" s="6" t="n"/>
      <c r="Z119" s="6" t="n"/>
    </row>
    <row r="120">
      <c r="A120" s="6" t="n"/>
      <c r="B120" s="6" t="n"/>
      <c r="C120" s="6" t="n"/>
      <c r="D120" s="6" t="n"/>
      <c r="E120" s="6" t="n"/>
      <c r="F120" s="6" t="n"/>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row>
    <row r="121">
      <c r="A121" s="6" t="n"/>
      <c r="B121" s="6" t="n"/>
      <c r="C121" s="6" t="n"/>
      <c r="D121" s="6" t="n"/>
      <c r="E121" s="6" t="n"/>
      <c r="F121" s="6" t="n"/>
      <c r="G121" s="6" t="n"/>
      <c r="H121" s="6" t="n"/>
      <c r="I121" s="6" t="n"/>
      <c r="J121" s="6" t="n"/>
      <c r="K121" s="6" t="n"/>
      <c r="L121" s="6" t="n"/>
      <c r="M121" s="6" t="n"/>
      <c r="N121" s="6" t="n"/>
      <c r="O121" s="6" t="n"/>
      <c r="P121" s="6" t="n"/>
      <c r="Q121" s="6" t="n"/>
      <c r="R121" s="6" t="n"/>
      <c r="S121" s="6" t="n"/>
      <c r="T121" s="6" t="n"/>
      <c r="U121" s="6" t="n"/>
      <c r="V121" s="6" t="n"/>
      <c r="W121" s="6" t="n"/>
      <c r="X121" s="6" t="n"/>
      <c r="Y121" s="6" t="n"/>
      <c r="Z121" s="6" t="n"/>
    </row>
    <row r="122">
      <c r="A122" s="6" t="n"/>
      <c r="B122" s="6" t="n"/>
      <c r="C122" s="6" t="n"/>
      <c r="D122" s="6" t="n"/>
      <c r="E122" s="6" t="n"/>
      <c r="F122" s="6" t="n"/>
      <c r="G122" s="6" t="n"/>
      <c r="H122" s="6" t="n"/>
      <c r="I122" s="6" t="n"/>
      <c r="J122" s="6" t="n"/>
      <c r="K122" s="6" t="n"/>
      <c r="L122" s="6" t="n"/>
      <c r="M122" s="6" t="n"/>
      <c r="N122" s="6" t="n"/>
      <c r="O122" s="6" t="n"/>
      <c r="P122" s="6" t="n"/>
      <c r="Q122" s="6" t="n"/>
      <c r="R122" s="6" t="n"/>
      <c r="S122" s="6" t="n"/>
      <c r="T122" s="6" t="n"/>
      <c r="U122" s="6" t="n"/>
      <c r="V122" s="6" t="n"/>
      <c r="W122" s="6" t="n"/>
      <c r="X122" s="6" t="n"/>
      <c r="Y122" s="6" t="n"/>
      <c r="Z122" s="6" t="n"/>
    </row>
    <row r="123">
      <c r="A123" s="6" t="n"/>
      <c r="B123" s="6" t="n"/>
      <c r="C123" s="6" t="n"/>
      <c r="D123" s="6" t="n"/>
      <c r="E123" s="6" t="n"/>
      <c r="F123" s="6" t="n"/>
      <c r="G123" s="6" t="n"/>
      <c r="H123" s="6" t="n"/>
      <c r="I123" s="6" t="n"/>
      <c r="J123" s="6" t="n"/>
      <c r="K123" s="6" t="n"/>
      <c r="L123" s="6" t="n"/>
      <c r="M123" s="6" t="n"/>
      <c r="N123" s="6" t="n"/>
      <c r="O123" s="6" t="n"/>
      <c r="P123" s="6" t="n"/>
      <c r="Q123" s="6" t="n"/>
      <c r="R123" s="6" t="n"/>
      <c r="S123" s="6" t="n"/>
      <c r="T123" s="6" t="n"/>
      <c r="U123" s="6" t="n"/>
      <c r="V123" s="6" t="n"/>
      <c r="W123" s="6" t="n"/>
      <c r="X123" s="6" t="n"/>
      <c r="Y123" s="6" t="n"/>
      <c r="Z123" s="6" t="n"/>
    </row>
    <row r="124">
      <c r="A124" s="6" t="n"/>
      <c r="B124" s="6" t="n"/>
      <c r="C124" s="6" t="n"/>
      <c r="D124" s="6" t="n"/>
      <c r="E124" s="6" t="n"/>
      <c r="F124" s="6" t="n"/>
      <c r="G124" s="6" t="n"/>
      <c r="H124" s="6" t="n"/>
      <c r="I124" s="6" t="n"/>
      <c r="J124" s="6" t="n"/>
      <c r="K124" s="6" t="n"/>
      <c r="L124" s="6" t="n"/>
      <c r="M124" s="6" t="n"/>
      <c r="N124" s="6" t="n"/>
      <c r="O124" s="6" t="n"/>
      <c r="P124" s="6" t="n"/>
      <c r="Q124" s="6" t="n"/>
      <c r="R124" s="6" t="n"/>
      <c r="S124" s="6" t="n"/>
      <c r="T124" s="6" t="n"/>
      <c r="U124" s="6" t="n"/>
      <c r="V124" s="6" t="n"/>
      <c r="W124" s="6" t="n"/>
      <c r="X124" s="6" t="n"/>
      <c r="Y124" s="6" t="n"/>
      <c r="Z124" s="6" t="n"/>
    </row>
    <row r="125">
      <c r="A125" s="6" t="n"/>
      <c r="B125" s="6" t="n"/>
      <c r="C125" s="6" t="n"/>
      <c r="D125" s="6" t="n"/>
      <c r="E125" s="6" t="n"/>
      <c r="F125" s="6" t="n"/>
      <c r="G125" s="6" t="n"/>
      <c r="H125" s="6" t="n"/>
      <c r="I125" s="6" t="n"/>
      <c r="J125" s="6" t="n"/>
      <c r="K125" s="6" t="n"/>
      <c r="L125" s="6" t="n"/>
      <c r="M125" s="6" t="n"/>
      <c r="N125" s="6" t="n"/>
      <c r="O125" s="6" t="n"/>
      <c r="P125" s="6" t="n"/>
      <c r="Q125" s="6" t="n"/>
      <c r="R125" s="6" t="n"/>
      <c r="S125" s="6" t="n"/>
      <c r="T125" s="6" t="n"/>
      <c r="U125" s="6" t="n"/>
      <c r="V125" s="6" t="n"/>
      <c r="W125" s="6" t="n"/>
      <c r="X125" s="6" t="n"/>
      <c r="Y125" s="6" t="n"/>
      <c r="Z125" s="6" t="n"/>
    </row>
    <row r="126">
      <c r="A126" s="6" t="n"/>
      <c r="B126" s="6" t="n"/>
      <c r="C126" s="6" t="n"/>
      <c r="D126" s="6" t="n"/>
      <c r="E126" s="6" t="n"/>
      <c r="F126" s="6" t="n"/>
      <c r="G126" s="6" t="n"/>
      <c r="H126" s="6" t="n"/>
      <c r="I126" s="6" t="n"/>
      <c r="J126" s="6" t="n"/>
      <c r="K126" s="6" t="n"/>
      <c r="L126" s="6" t="n"/>
      <c r="M126" s="6" t="n"/>
      <c r="N126" s="6" t="n"/>
      <c r="O126" s="6" t="n"/>
      <c r="P126" s="6" t="n"/>
      <c r="Q126" s="6" t="n"/>
      <c r="R126" s="6" t="n"/>
      <c r="S126" s="6" t="n"/>
      <c r="T126" s="6" t="n"/>
      <c r="U126" s="6" t="n"/>
      <c r="V126" s="6" t="n"/>
      <c r="W126" s="6" t="n"/>
      <c r="X126" s="6" t="n"/>
      <c r="Y126" s="6" t="n"/>
      <c r="Z126" s="6" t="n"/>
    </row>
    <row r="127">
      <c r="A127" s="6" t="n"/>
      <c r="B127" s="6" t="n"/>
      <c r="C127" s="6" t="n"/>
      <c r="D127" s="6" t="n"/>
      <c r="E127" s="6" t="n"/>
      <c r="F127" s="6" t="n"/>
      <c r="G127" s="6" t="n"/>
      <c r="H127" s="6" t="n"/>
      <c r="I127" s="6" t="n"/>
      <c r="J127" s="6" t="n"/>
      <c r="K127" s="6" t="n"/>
      <c r="L127" s="6" t="n"/>
      <c r="M127" s="6" t="n"/>
      <c r="N127" s="6" t="n"/>
      <c r="O127" s="6" t="n"/>
      <c r="P127" s="6" t="n"/>
      <c r="Q127" s="6" t="n"/>
      <c r="R127" s="6" t="n"/>
      <c r="S127" s="6" t="n"/>
      <c r="T127" s="6" t="n"/>
      <c r="U127" s="6" t="n"/>
      <c r="V127" s="6" t="n"/>
      <c r="W127" s="6" t="n"/>
      <c r="X127" s="6" t="n"/>
      <c r="Y127" s="6" t="n"/>
      <c r="Z127" s="6" t="n"/>
    </row>
    <row r="128">
      <c r="A128" s="6" t="n"/>
      <c r="B128" s="6" t="n"/>
      <c r="C128" s="6" t="n"/>
      <c r="D128" s="6" t="n"/>
      <c r="E128" s="6" t="n"/>
      <c r="F128" s="6" t="n"/>
      <c r="G128" s="6" t="n"/>
      <c r="H128" s="6" t="n"/>
      <c r="I128" s="6" t="n"/>
      <c r="J128" s="6" t="n"/>
      <c r="K128" s="6" t="n"/>
      <c r="L128" s="6" t="n"/>
      <c r="M128" s="6" t="n"/>
      <c r="N128" s="6" t="n"/>
      <c r="O128" s="6" t="n"/>
      <c r="P128" s="6" t="n"/>
      <c r="Q128" s="6" t="n"/>
      <c r="R128" s="6" t="n"/>
      <c r="S128" s="6" t="n"/>
      <c r="T128" s="6" t="n"/>
      <c r="U128" s="6" t="n"/>
      <c r="V128" s="6" t="n"/>
      <c r="W128" s="6" t="n"/>
      <c r="X128" s="6" t="n"/>
      <c r="Y128" s="6" t="n"/>
      <c r="Z128" s="6" t="n"/>
    </row>
    <row r="129">
      <c r="A129" s="6" t="n"/>
      <c r="B129" s="6" t="n"/>
      <c r="C129" s="6" t="n"/>
      <c r="D129" s="6" t="n"/>
      <c r="E129" s="6" t="n"/>
      <c r="F129" s="6" t="n"/>
      <c r="G129" s="6" t="n"/>
      <c r="H129" s="6" t="n"/>
      <c r="I129" s="6" t="n"/>
      <c r="J129" s="6" t="n"/>
      <c r="K129" s="6" t="n"/>
      <c r="L129" s="6" t="n"/>
      <c r="M129" s="6" t="n"/>
      <c r="N129" s="6" t="n"/>
      <c r="O129" s="6" t="n"/>
      <c r="P129" s="6" t="n"/>
      <c r="Q129" s="6" t="n"/>
      <c r="R129" s="6" t="n"/>
      <c r="S129" s="6" t="n"/>
      <c r="T129" s="6" t="n"/>
      <c r="U129" s="6" t="n"/>
      <c r="V129" s="6" t="n"/>
      <c r="W129" s="6" t="n"/>
      <c r="X129" s="6" t="n"/>
      <c r="Y129" s="6" t="n"/>
      <c r="Z129" s="6" t="n"/>
    </row>
    <row r="130">
      <c r="A130" s="6" t="n"/>
      <c r="B130" s="6" t="n"/>
      <c r="C130" s="6" t="n"/>
      <c r="D130" s="6" t="n"/>
      <c r="E130" s="6" t="n"/>
      <c r="F130" s="6" t="n"/>
      <c r="G130" s="6" t="n"/>
      <c r="H130" s="6" t="n"/>
      <c r="I130" s="6" t="n"/>
      <c r="J130" s="6" t="n"/>
      <c r="K130" s="6" t="n"/>
      <c r="L130" s="6" t="n"/>
      <c r="M130" s="6" t="n"/>
      <c r="N130" s="6" t="n"/>
      <c r="O130" s="6" t="n"/>
      <c r="P130" s="6" t="n"/>
      <c r="Q130" s="6" t="n"/>
      <c r="R130" s="6" t="n"/>
      <c r="S130" s="6" t="n"/>
      <c r="T130" s="6" t="n"/>
      <c r="U130" s="6" t="n"/>
      <c r="V130" s="6" t="n"/>
      <c r="W130" s="6" t="n"/>
      <c r="X130" s="6" t="n"/>
      <c r="Y130" s="6" t="n"/>
      <c r="Z130" s="6" t="n"/>
    </row>
    <row r="131">
      <c r="A131" s="6" t="n"/>
      <c r="B131" s="6" t="n"/>
      <c r="C131" s="6" t="n"/>
      <c r="D131" s="6" t="n"/>
      <c r="E131" s="6" t="n"/>
      <c r="F131" s="6" t="n"/>
      <c r="G131" s="6" t="n"/>
      <c r="H131" s="6" t="n"/>
      <c r="I131" s="6" t="n"/>
      <c r="J131" s="6" t="n"/>
      <c r="K131" s="6" t="n"/>
      <c r="L131" s="6" t="n"/>
      <c r="M131" s="6" t="n"/>
      <c r="N131" s="6" t="n"/>
      <c r="O131" s="6" t="n"/>
      <c r="P131" s="6" t="n"/>
      <c r="Q131" s="6" t="n"/>
      <c r="R131" s="6" t="n"/>
      <c r="S131" s="6" t="n"/>
      <c r="T131" s="6" t="n"/>
      <c r="U131" s="6" t="n"/>
      <c r="V131" s="6" t="n"/>
      <c r="W131" s="6" t="n"/>
      <c r="X131" s="6" t="n"/>
      <c r="Y131" s="6" t="n"/>
      <c r="Z131" s="6" t="n"/>
    </row>
    <row r="132">
      <c r="A132" s="6" t="n"/>
      <c r="B132" s="6" t="n"/>
      <c r="C132" s="6" t="n"/>
      <c r="D132" s="6" t="n"/>
      <c r="E132" s="6" t="n"/>
      <c r="F132" s="6" t="n"/>
      <c r="G132" s="6" t="n"/>
      <c r="H132" s="6" t="n"/>
      <c r="I132" s="6" t="n"/>
      <c r="J132" s="6" t="n"/>
      <c r="K132" s="6" t="n"/>
      <c r="L132" s="6" t="n"/>
      <c r="M132" s="6" t="n"/>
      <c r="N132" s="6" t="n"/>
      <c r="O132" s="6" t="n"/>
      <c r="P132" s="6" t="n"/>
      <c r="Q132" s="6" t="n"/>
      <c r="R132" s="6" t="n"/>
      <c r="S132" s="6" t="n"/>
      <c r="T132" s="6" t="n"/>
      <c r="U132" s="6" t="n"/>
      <c r="V132" s="6" t="n"/>
      <c r="W132" s="6" t="n"/>
      <c r="X132" s="6" t="n"/>
      <c r="Y132" s="6" t="n"/>
      <c r="Z132" s="6" t="n"/>
    </row>
    <row r="133">
      <c r="A133" s="6" t="n"/>
      <c r="B133" s="6" t="n"/>
      <c r="C133" s="6" t="n"/>
      <c r="D133" s="6" t="n"/>
      <c r="E133" s="6" t="n"/>
      <c r="F133" s="6" t="n"/>
      <c r="G133" s="6" t="n"/>
      <c r="H133" s="6" t="n"/>
      <c r="I133" s="6" t="n"/>
      <c r="J133" s="6" t="n"/>
      <c r="K133" s="6" t="n"/>
      <c r="L133" s="6" t="n"/>
      <c r="M133" s="6" t="n"/>
      <c r="N133" s="6" t="n"/>
      <c r="O133" s="6" t="n"/>
      <c r="P133" s="6" t="n"/>
      <c r="Q133" s="6" t="n"/>
      <c r="R133" s="6" t="n"/>
      <c r="S133" s="6" t="n"/>
      <c r="T133" s="6" t="n"/>
      <c r="U133" s="6" t="n"/>
      <c r="V133" s="6" t="n"/>
      <c r="W133" s="6" t="n"/>
      <c r="X133" s="6" t="n"/>
      <c r="Y133" s="6" t="n"/>
      <c r="Z133" s="6" t="n"/>
    </row>
    <row r="134">
      <c r="A134" s="6" t="n"/>
      <c r="B134" s="6" t="n"/>
      <c r="C134" s="6" t="n"/>
      <c r="D134" s="6" t="n"/>
      <c r="E134" s="6" t="n"/>
      <c r="F134" s="6" t="n"/>
      <c r="G134" s="6" t="n"/>
      <c r="H134" s="6" t="n"/>
      <c r="I134" s="6" t="n"/>
      <c r="J134" s="6" t="n"/>
      <c r="K134" s="6" t="n"/>
      <c r="L134" s="6" t="n"/>
      <c r="M134" s="6" t="n"/>
      <c r="N134" s="6" t="n"/>
      <c r="O134" s="6" t="n"/>
      <c r="P134" s="6" t="n"/>
      <c r="Q134" s="6" t="n"/>
      <c r="R134" s="6" t="n"/>
      <c r="S134" s="6" t="n"/>
      <c r="T134" s="6" t="n"/>
      <c r="U134" s="6" t="n"/>
      <c r="V134" s="6" t="n"/>
      <c r="W134" s="6" t="n"/>
      <c r="X134" s="6" t="n"/>
      <c r="Y134" s="6" t="n"/>
      <c r="Z134" s="6" t="n"/>
    </row>
    <row r="135">
      <c r="A135" s="6" t="n"/>
      <c r="B135" s="6" t="n"/>
      <c r="C135" s="6" t="n"/>
      <c r="D135" s="6" t="n"/>
      <c r="E135" s="6" t="n"/>
      <c r="F135" s="6" t="n"/>
      <c r="G135" s="6" t="n"/>
      <c r="H135" s="6" t="n"/>
      <c r="I135" s="6" t="n"/>
      <c r="J135" s="6" t="n"/>
      <c r="K135" s="6" t="n"/>
      <c r="L135" s="6" t="n"/>
      <c r="M135" s="6" t="n"/>
      <c r="N135" s="6" t="n"/>
      <c r="O135" s="6" t="n"/>
      <c r="P135" s="6" t="n"/>
      <c r="Q135" s="6" t="n"/>
      <c r="R135" s="6" t="n"/>
      <c r="S135" s="6" t="n"/>
      <c r="T135" s="6" t="n"/>
      <c r="U135" s="6" t="n"/>
      <c r="V135" s="6" t="n"/>
      <c r="W135" s="6" t="n"/>
      <c r="X135" s="6" t="n"/>
      <c r="Y135" s="6" t="n"/>
      <c r="Z135" s="6" t="n"/>
    </row>
    <row r="136">
      <c r="A136" s="6" t="n"/>
      <c r="B136" s="6" t="n"/>
      <c r="C136" s="6" t="n"/>
      <c r="D136" s="6" t="n"/>
      <c r="E136" s="6" t="n"/>
      <c r="F136" s="6" t="n"/>
      <c r="G136" s="6" t="n"/>
      <c r="H136" s="6" t="n"/>
      <c r="I136" s="6" t="n"/>
      <c r="J136" s="6" t="n"/>
      <c r="K136" s="6" t="n"/>
      <c r="L136" s="6" t="n"/>
      <c r="M136" s="6" t="n"/>
      <c r="N136" s="6" t="n"/>
      <c r="O136" s="6" t="n"/>
      <c r="P136" s="6" t="n"/>
      <c r="Q136" s="6" t="n"/>
      <c r="R136" s="6" t="n"/>
      <c r="S136" s="6" t="n"/>
      <c r="T136" s="6" t="n"/>
      <c r="U136" s="6" t="n"/>
      <c r="V136" s="6" t="n"/>
      <c r="W136" s="6" t="n"/>
      <c r="X136" s="6" t="n"/>
      <c r="Y136" s="6" t="n"/>
      <c r="Z136" s="6" t="n"/>
    </row>
    <row r="137">
      <c r="A137" s="6" t="n"/>
      <c r="B137" s="6" t="n"/>
      <c r="C137" s="6" t="n"/>
      <c r="D137" s="6" t="n"/>
      <c r="E137" s="6" t="n"/>
      <c r="F137" s="6" t="n"/>
      <c r="G137" s="6" t="n"/>
      <c r="H137" s="6" t="n"/>
      <c r="I137" s="6" t="n"/>
      <c r="J137" s="6" t="n"/>
      <c r="K137" s="6" t="n"/>
      <c r="L137" s="6" t="n"/>
      <c r="M137" s="6" t="n"/>
      <c r="N137" s="6" t="n"/>
      <c r="O137" s="6" t="n"/>
      <c r="P137" s="6" t="n"/>
      <c r="Q137" s="6" t="n"/>
      <c r="R137" s="6" t="n"/>
      <c r="S137" s="6" t="n"/>
      <c r="T137" s="6" t="n"/>
      <c r="U137" s="6" t="n"/>
      <c r="V137" s="6" t="n"/>
      <c r="W137" s="6" t="n"/>
      <c r="X137" s="6" t="n"/>
      <c r="Y137" s="6" t="n"/>
      <c r="Z137" s="6" t="n"/>
    </row>
    <row r="138">
      <c r="A138" s="6" t="n"/>
      <c r="B138" s="6" t="n"/>
      <c r="C138" s="6" t="n"/>
      <c r="D138" s="6" t="n"/>
      <c r="E138" s="6" t="n"/>
      <c r="F138" s="6" t="n"/>
      <c r="G138" s="6" t="n"/>
      <c r="H138" s="6" t="n"/>
      <c r="I138" s="6" t="n"/>
      <c r="J138" s="6" t="n"/>
      <c r="K138" s="6" t="n"/>
      <c r="L138" s="6" t="n"/>
      <c r="M138" s="6" t="n"/>
      <c r="N138" s="6" t="n"/>
      <c r="O138" s="6" t="n"/>
      <c r="P138" s="6" t="n"/>
      <c r="Q138" s="6" t="n"/>
      <c r="R138" s="6" t="n"/>
      <c r="S138" s="6" t="n"/>
      <c r="T138" s="6" t="n"/>
      <c r="U138" s="6" t="n"/>
      <c r="V138" s="6" t="n"/>
      <c r="W138" s="6" t="n"/>
      <c r="X138" s="6" t="n"/>
      <c r="Y138" s="6" t="n"/>
      <c r="Z138" s="6" t="n"/>
    </row>
    <row r="139">
      <c r="A139" s="6" t="n"/>
      <c r="B139" s="6" t="n"/>
      <c r="C139" s="6" t="n"/>
      <c r="D139" s="6" t="n"/>
      <c r="E139" s="6" t="n"/>
      <c r="F139" s="6" t="n"/>
      <c r="G139" s="6" t="n"/>
      <c r="H139" s="6" t="n"/>
      <c r="I139" s="6" t="n"/>
      <c r="J139" s="6" t="n"/>
      <c r="K139" s="6" t="n"/>
      <c r="L139" s="6" t="n"/>
      <c r="M139" s="6" t="n"/>
      <c r="N139" s="6" t="n"/>
      <c r="O139" s="6" t="n"/>
      <c r="P139" s="6" t="n"/>
      <c r="Q139" s="6" t="n"/>
      <c r="R139" s="6" t="n"/>
      <c r="S139" s="6" t="n"/>
      <c r="T139" s="6" t="n"/>
      <c r="U139" s="6" t="n"/>
      <c r="V139" s="6" t="n"/>
      <c r="W139" s="6" t="n"/>
      <c r="X139" s="6" t="n"/>
      <c r="Y139" s="6" t="n"/>
      <c r="Z139" s="6" t="n"/>
    </row>
  </sheetData>
  <mergeCells count="25">
    <mergeCell ref="C51:AA51"/>
    <mergeCell ref="C60:AA60"/>
    <mergeCell ref="C41:N41"/>
    <mergeCell ref="C52:AA52"/>
    <mergeCell ref="C70:AA70"/>
    <mergeCell ref="C44:N44"/>
    <mergeCell ref="C61:AA61"/>
    <mergeCell ref="C43:N43"/>
    <mergeCell ref="C67:AA67"/>
    <mergeCell ref="C57:AA57"/>
    <mergeCell ref="C66:AA66"/>
    <mergeCell ref="C53:AA53"/>
    <mergeCell ref="C69:AA69"/>
    <mergeCell ref="C68:AA68"/>
    <mergeCell ref="C62:AA62"/>
    <mergeCell ref="C58:AA58"/>
    <mergeCell ref="C64:AA64"/>
    <mergeCell ref="C63:AA63"/>
    <mergeCell ref="C42:N42"/>
    <mergeCell ref="C65:AA65"/>
    <mergeCell ref="C54:AA54"/>
    <mergeCell ref="C55:AA55"/>
    <mergeCell ref="C45:N45"/>
    <mergeCell ref="C56:AA56"/>
    <mergeCell ref="C59:AA59"/>
  </mergeCells>
  <conditionalFormatting sqref="F7:AA36">
    <cfRule type="expression" priority="1" dxfId="3" stopIfTrue="1">
      <formula>AND(AND($C7&lt;&gt;"",F$6&lt;=$D7,F$6+6&gt;=$C7),$E7&lt;&gt;"")</formula>
    </cfRule>
    <cfRule type="expression" priority="2" dxfId="4" stopIfTrue="1">
      <formula>AND(AND($C7&lt;&gt;"",F$6&lt;=$D7,F$6+6&gt;=$C7),$C7&lt;=$D$4,$D7&gt;=$D$4)</formula>
    </cfRule>
    <cfRule type="expression" priority="3" dxfId="5" stopIfTrue="1">
      <formula>AND($C7&lt;&gt;"",F$6&lt;=$D7,F$6+6&gt;=$C7)</formula>
    </cfRule>
    <cfRule type="expression" priority="4" dxfId="6">
      <formula>AND(F$6&lt;=$D$4,F$6+6&gt;=$D$4)</formula>
    </cfRule>
  </conditionalFormatting>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sheetPr>
  <dimension ref="A1:E93"/>
  <sheetViews>
    <sheetView tabSelected="0" workbookViewId="0">
      <selection activeCell="A1" sqref="A1"/>
    </sheetView>
  </sheetViews>
  <sheetFormatPr baseColWidth="8" defaultRowHeight="15"/>
  <cols>
    <col width="18" customWidth="1" min="1" max="1"/>
    <col width="22" customWidth="1" min="2" max="2"/>
    <col width="46" customWidth="1" min="3" max="3"/>
    <col width="18" customWidth="1" min="4" max="4"/>
    <col width="70" customWidth="1" min="5" max="5"/>
  </cols>
  <sheetData>
    <row r="1">
      <c r="A1" s="1" t="inlineStr">
        <is>
          <t>OPS DASHBOARD – FILE SỐ LIỆU NGUỒN</t>
        </is>
      </c>
    </row>
    <row r="3">
      <c r="A3" s="2" t="inlineStr">
        <is>
          <t>Cách dùng</t>
        </is>
      </c>
    </row>
    <row r="4">
      <c r="A4" t="inlineStr">
        <is>
          <t>1. Mỗi sheet là một bảng (Excel Table). Chỉ sửa số liệu trong bảng; thêm dòng bằng cách gõ ngay dưới dòng cuối của bảng (bảng tự mở rộng).</t>
        </is>
      </c>
    </row>
    <row r="5">
      <c r="A5" t="inlineStr">
        <is>
          <t>2. KHÔNG đổi tên bảng (Table Design → Table Name), KHÔNG đổi tên cột ở dòng tiêu đề. Dashboard đọc theo đúng các tên này.</t>
        </is>
      </c>
    </row>
    <row r="6">
      <c r="A6" t="inlineStr">
        <is>
          <t>3. Ngày tháng gõ dạng chữ: tháng YYYY-MM (2026-11), ngày YYYY-MM-DD (2026-11-30). Các cột ngày đã định dạng Text sẵn.</t>
        </is>
      </c>
    </row>
    <row r="7">
      <c r="A7" t="inlineStr">
        <is>
          <t>4. Phần trăm gõ số 0–100 (ví dụ 70.5), không gõ dấu %. Ô chưa có số để trống.</t>
        </is>
      </c>
    </row>
    <row r="8">
      <c r="A8" t="inlineStr">
        <is>
          <t>5. Power Automate đọc file này theo lịch và đẩy lên dashboard. Sau khi lưu, chờ tới lượt chạy kế tiếp (hoặc chạy tay luồng) rồi 1–2 phút để Vercel cập nhật.</t>
        </is>
      </c>
    </row>
    <row r="9">
      <c r="A9" t="inlineStr">
        <is>
          <t>6. Các sheet dashboard (Overview … Commissioning) ở đầu file tự tính lại ngay khi sửa số; không cần sửa gì trên các sheet đó.</t>
        </is>
      </c>
    </row>
    <row r="11">
      <c r="A11" s="3" t="inlineStr">
        <is>
          <t>Bảng</t>
        </is>
      </c>
      <c r="B11" s="3" t="inlineStr">
        <is>
          <t>Sheet</t>
        </is>
      </c>
      <c r="C11" s="3" t="inlineStr">
        <is>
          <t>Hiển thị ở</t>
        </is>
      </c>
      <c r="D11" s="3" t="inlineStr">
        <is>
          <t>Cột</t>
        </is>
      </c>
      <c r="E11" s="3" t="inlineStr">
        <is>
          <t>Ý nghĩa</t>
        </is>
      </c>
    </row>
    <row r="12">
      <c r="A12" s="4" t="inlineStr">
        <is>
          <t>meta</t>
        </is>
      </c>
      <c r="B12" s="4" t="inlineStr">
        <is>
          <t>Thong tin</t>
        </is>
      </c>
      <c r="C12" s="4" t="inlineStr">
        <is>
          <t>Ngày báo cáo và tiêu đề (1 dòng duy nhất)</t>
        </is>
      </c>
      <c r="D12" s="4" t="inlineStr">
        <is>
          <t>report_date</t>
        </is>
      </c>
      <c r="E12" s="4" t="inlineStr">
        <is>
          <t>Ngày báo cáo, dạng YYYY-MM-DD</t>
        </is>
      </c>
    </row>
    <row r="13">
      <c r="A13" s="4" t="inlineStr"/>
      <c r="B13" s="4" t="inlineStr"/>
      <c r="C13" s="4" t="inlineStr"/>
      <c r="D13" s="4" t="inlineStr">
        <is>
          <t>report_title</t>
        </is>
      </c>
      <c r="E13" s="4" t="inlineStr">
        <is>
          <t>Tên báo cáo</t>
        </is>
      </c>
    </row>
    <row r="14">
      <c r="A14" s="4" t="inlineStr"/>
      <c r="B14" s="4" t="inlineStr"/>
      <c r="C14" s="4" t="inlineStr"/>
      <c r="D14" s="4" t="inlineStr">
        <is>
          <t>prepared_by</t>
        </is>
      </c>
      <c r="E14" s="4" t="inlineStr">
        <is>
          <t>Đơn vị lập</t>
        </is>
      </c>
    </row>
    <row r="15">
      <c r="A15" s="4" t="inlineStr">
        <is>
          <t>manpower</t>
        </is>
      </c>
      <c r="B15" s="4" t="inlineStr">
        <is>
          <t>Nhan su theo thang</t>
        </is>
      </c>
      <c r="C15" s="4" t="inlineStr">
        <is>
          <t>Biểu đồ tăng cường nhân sự; KPI nhân sự lấy tháng cuối cùng có số thực tế</t>
        </is>
      </c>
      <c r="D15" s="4" t="inlineStr">
        <is>
          <t>month</t>
        </is>
      </c>
      <c r="E15" s="4" t="inlineStr">
        <is>
          <t>Tháng, dạng YYYY-MM</t>
        </is>
      </c>
    </row>
    <row r="16">
      <c r="A16" s="4" t="inlineStr"/>
      <c r="B16" s="4" t="inlineStr"/>
      <c r="C16" s="4" t="inlineStr"/>
      <c r="D16" s="4" t="inlineStr">
        <is>
          <t>onshore_plan</t>
        </is>
      </c>
      <c r="E16" s="4" t="inlineStr">
        <is>
          <t>Onshore kế hoạch</t>
        </is>
      </c>
    </row>
    <row r="17">
      <c r="A17" s="4" t="inlineStr"/>
      <c r="B17" s="4" t="inlineStr"/>
      <c r="C17" s="4" t="inlineStr"/>
      <c r="D17" s="4" t="inlineStr">
        <is>
          <t>onshore_actual</t>
        </is>
      </c>
      <c r="E17" s="4" t="inlineStr">
        <is>
          <t>Onshore thực tế (để trống nếu chưa tới)</t>
        </is>
      </c>
    </row>
    <row r="18">
      <c r="A18" s="4" t="inlineStr"/>
      <c r="B18" s="4" t="inlineStr"/>
      <c r="C18" s="4" t="inlineStr"/>
      <c r="D18" s="4" t="inlineStr">
        <is>
          <t>offshore_plan</t>
        </is>
      </c>
      <c r="E18" s="4" t="inlineStr">
        <is>
          <t>Offshore kế hoạch</t>
        </is>
      </c>
    </row>
    <row r="19">
      <c r="A19" s="4" t="inlineStr"/>
      <c r="B19" s="4" t="inlineStr"/>
      <c r="C19" s="4" t="inlineStr"/>
      <c r="D19" s="4" t="inlineStr">
        <is>
          <t>offshore_actual</t>
        </is>
      </c>
      <c r="E19" s="4" t="inlineStr">
        <is>
          <t>Offshore thực tế</t>
        </is>
      </c>
    </row>
    <row r="20">
      <c r="A20" s="4" t="inlineStr"/>
      <c r="B20" s="4" t="inlineStr"/>
      <c r="C20" s="4" t="inlineStr"/>
      <c r="D20" s="4" t="inlineStr">
        <is>
          <t>total_plan</t>
        </is>
      </c>
      <c r="E20" s="4" t="inlineStr">
        <is>
          <t>Tổng kế hoạch</t>
        </is>
      </c>
    </row>
    <row r="21">
      <c r="A21" s="4" t="inlineStr"/>
      <c r="B21" s="4" t="inlineStr"/>
      <c r="C21" s="4" t="inlineStr"/>
      <c r="D21" s="4" t="inlineStr">
        <is>
          <t>total_actual</t>
        </is>
      </c>
      <c r="E21" s="4" t="inlineStr">
        <is>
          <t>Tổng thực tế</t>
        </is>
      </c>
    </row>
    <row r="22">
      <c r="A22" s="4" t="inlineStr">
        <is>
          <t>staffing</t>
        </is>
      </c>
      <c r="B22" s="4" t="inlineStr">
        <is>
          <t>Dinh bien</t>
        </is>
      </c>
      <c r="C22" s="4" t="inlineStr">
        <is>
          <t>Thẻ "Định biên hiện tại"</t>
        </is>
      </c>
      <c r="D22" s="4" t="inlineStr">
        <is>
          <t>group</t>
        </is>
      </c>
      <c r="E22" s="4" t="inlineStr">
        <is>
          <t>Nhóm</t>
        </is>
      </c>
    </row>
    <row r="23">
      <c r="A23" s="4" t="inlineStr"/>
      <c r="B23" s="4" t="inlineStr"/>
      <c r="C23" s="4" t="inlineStr"/>
      <c r="D23" s="4" t="inlineStr">
        <is>
          <t>filled</t>
        </is>
      </c>
      <c r="E23" s="4" t="inlineStr">
        <is>
          <t>Đã có</t>
        </is>
      </c>
    </row>
    <row r="24">
      <c r="A24" s="4" t="inlineStr"/>
      <c r="B24" s="4" t="inlineStr"/>
      <c r="C24" s="4" t="inlineStr"/>
      <c r="D24" s="4" t="inlineStr">
        <is>
          <t>required</t>
        </is>
      </c>
      <c r="E24" s="4" t="inlineStr">
        <is>
          <t>Cần</t>
        </is>
      </c>
    </row>
    <row r="25">
      <c r="A25" s="4" t="inlineStr">
        <is>
          <t>cbta</t>
        </is>
      </c>
      <c r="B25" s="4" t="inlineStr">
        <is>
          <t>CBTA</t>
        </is>
      </c>
      <c r="C25" s="4" t="inlineStr">
        <is>
          <t>Tab Nhân sự &amp; đào tạo: CBTA</t>
        </is>
      </c>
      <c r="D25" s="4" t="inlineStr">
        <is>
          <t>platform</t>
        </is>
      </c>
      <c r="E25" s="4" t="inlineStr">
        <is>
          <t>CPP hoặc WHP</t>
        </is>
      </c>
    </row>
    <row r="26">
      <c r="A26" s="4" t="inlineStr"/>
      <c r="B26" s="4" t="inlineStr"/>
      <c r="C26" s="4" t="inlineStr"/>
      <c r="D26" s="4" t="inlineStr">
        <is>
          <t>team</t>
        </is>
      </c>
      <c r="E26" s="4" t="inlineStr">
        <is>
          <t>Team</t>
        </is>
      </c>
    </row>
    <row r="27">
      <c r="A27" s="4" t="inlineStr"/>
      <c r="B27" s="4" t="inlineStr"/>
      <c r="C27" s="4" t="inlineStr"/>
      <c r="D27" s="4" t="inlineStr">
        <is>
          <t>modules</t>
        </is>
      </c>
      <c r="E27" s="4" t="inlineStr">
        <is>
          <t>Tổng module</t>
        </is>
      </c>
    </row>
    <row r="28">
      <c r="A28" s="4" t="inlineStr"/>
      <c r="B28" s="4" t="inlineStr"/>
      <c r="C28" s="4" t="inlineStr"/>
      <c r="D28" s="4" t="inlineStr">
        <is>
          <t>developing</t>
        </is>
      </c>
      <c r="E28" s="4" t="inlineStr">
        <is>
          <t>Đang biên soạn</t>
        </is>
      </c>
    </row>
    <row r="29">
      <c r="A29" s="4" t="inlineStr"/>
      <c r="B29" s="4" t="inlineStr"/>
      <c r="C29" s="4" t="inlineStr"/>
      <c r="D29" s="4" t="inlineStr">
        <is>
          <t>review</t>
        </is>
      </c>
      <c r="E29" s="4" t="inlineStr">
        <is>
          <t>Đang soát xét</t>
        </is>
      </c>
    </row>
    <row r="30">
      <c r="A30" s="4" t="inlineStr"/>
      <c r="B30" s="4" t="inlineStr"/>
      <c r="C30" s="4" t="inlineStr"/>
      <c r="D30" s="4" t="inlineStr">
        <is>
          <t>completed</t>
        </is>
      </c>
      <c r="E30" s="4" t="inlineStr">
        <is>
          <t>Đã hoàn thành</t>
        </is>
      </c>
    </row>
    <row r="31">
      <c r="A31" s="4" t="inlineStr"/>
      <c r="B31" s="4" t="inlineStr"/>
      <c r="C31" s="4" t="inlineStr"/>
      <c r="D31" s="4" t="inlineStr">
        <is>
          <t>theory_pct</t>
        </is>
      </c>
      <c r="E31" s="4" t="inlineStr">
        <is>
          <t>% đánh giá lý thuyết (0–100)</t>
        </is>
      </c>
    </row>
    <row r="32">
      <c r="A32" s="4" t="inlineStr"/>
      <c r="B32" s="4" t="inlineStr"/>
      <c r="C32" s="4" t="inlineStr"/>
      <c r="D32" s="4" t="inlineStr">
        <is>
          <t>ojt_modules</t>
        </is>
      </c>
      <c r="E32" s="4" t="inlineStr">
        <is>
          <t>Số module OJT</t>
        </is>
      </c>
    </row>
    <row r="33">
      <c r="A33" s="4" t="inlineStr"/>
      <c r="B33" s="4" t="inlineStr"/>
      <c r="C33" s="4" t="inlineStr"/>
      <c r="D33" s="4" t="inlineStr">
        <is>
          <t>ojt_pct</t>
        </is>
      </c>
      <c r="E33" s="4" t="inlineStr">
        <is>
          <t>% đánh giá OJT (0–100)</t>
        </is>
      </c>
    </row>
    <row r="34">
      <c r="A34" s="4" t="inlineStr">
        <is>
          <t>mandatory</t>
        </is>
      </c>
      <c r="B34" s="4" t="inlineStr">
        <is>
          <t>Dao tao bat buoc</t>
        </is>
      </c>
      <c r="C34" s="4" t="inlineStr">
        <is>
          <t>Đào tạo bắt buộc offshore</t>
        </is>
      </c>
      <c r="D34" s="4" t="inlineStr">
        <is>
          <t>team</t>
        </is>
      </c>
      <c r="E34" s="4" t="inlineStr">
        <is>
          <t>Team</t>
        </is>
      </c>
    </row>
    <row r="35">
      <c r="A35" s="4" t="inlineStr"/>
      <c r="B35" s="4" t="inlineStr"/>
      <c r="C35" s="4" t="inlineStr"/>
      <c r="D35" s="4" t="inlineStr">
        <is>
          <t>planned</t>
        </is>
      </c>
      <c r="E35" s="4" t="inlineStr">
        <is>
          <t>Số khoá kế hoạch</t>
        </is>
      </c>
    </row>
    <row r="36">
      <c r="A36" s="4" t="inlineStr"/>
      <c r="B36" s="4" t="inlineStr"/>
      <c r="C36" s="4" t="inlineStr"/>
      <c r="D36" s="4" t="inlineStr">
        <is>
          <t>earned</t>
        </is>
      </c>
      <c r="E36" s="4" t="inlineStr">
        <is>
          <t>Số khoá đã hoàn thành</t>
        </is>
      </c>
    </row>
    <row r="37">
      <c r="A37" s="4" t="inlineStr"/>
      <c r="B37" s="4" t="inlineStr"/>
      <c r="C37" s="4" t="inlineStr"/>
      <c r="D37" s="4" t="inlineStr">
        <is>
          <t>balance</t>
        </is>
      </c>
      <c r="E37" s="4" t="inlineStr">
        <is>
          <t>Còn lại</t>
        </is>
      </c>
    </row>
    <row r="38">
      <c r="A38" s="4" t="inlineStr">
        <is>
          <t>vendor_training</t>
        </is>
      </c>
      <c r="B38" s="4" t="inlineStr">
        <is>
          <t>Dao tao vendor</t>
        </is>
      </c>
      <c r="C38" s="4" t="inlineStr">
        <is>
          <t>Lịch đào tạo vendor</t>
        </is>
      </c>
      <c r="D38" s="4" t="inlineStr">
        <is>
          <t>course</t>
        </is>
      </c>
      <c r="E38" s="4" t="inlineStr">
        <is>
          <t>Tên khoá</t>
        </is>
      </c>
    </row>
    <row r="39">
      <c r="A39" s="4" t="inlineStr"/>
      <c r="B39" s="4" t="inlineStr"/>
      <c r="C39" s="4" t="inlineStr"/>
      <c r="D39" s="4" t="inlineStr">
        <is>
          <t>period</t>
        </is>
      </c>
      <c r="E39" s="4" t="inlineStr">
        <is>
          <t>Tháng YYYY-MM, hoặc chỉ năm YYYY</t>
        </is>
      </c>
    </row>
    <row r="40">
      <c r="A40" s="4" t="inlineStr">
        <is>
          <t>orr_teams</t>
        </is>
      </c>
      <c r="B40" s="4" t="inlineStr">
        <is>
          <t>ORR theo team</t>
        </is>
      </c>
      <c r="C40" s="4" t="inlineStr">
        <is>
          <t>ORR theo team OPS (tháng hiện tại)</t>
        </is>
      </c>
      <c r="D40" s="4" t="inlineStr">
        <is>
          <t>team</t>
        </is>
      </c>
      <c r="E40" s="4" t="inlineStr">
        <is>
          <t>Team</t>
        </is>
      </c>
    </row>
    <row r="41">
      <c r="A41" s="4" t="inlineStr"/>
      <c r="B41" s="4" t="inlineStr"/>
      <c r="C41" s="4" t="inlineStr"/>
      <c r="D41" s="4" t="inlineStr">
        <is>
          <t>weight_pct</t>
        </is>
      </c>
      <c r="E41" s="4" t="inlineStr">
        <is>
          <t>Trọng số %</t>
        </is>
      </c>
    </row>
    <row r="42">
      <c r="A42" s="4" t="inlineStr"/>
      <c r="B42" s="4" t="inlineStr"/>
      <c r="C42" s="4" t="inlineStr"/>
      <c r="D42" s="4" t="inlineStr">
        <is>
          <t>total_activities</t>
        </is>
      </c>
      <c r="E42" s="4" t="inlineStr">
        <is>
          <t>Tổng hoạt động</t>
        </is>
      </c>
    </row>
    <row r="43">
      <c r="A43" s="4" t="inlineStr"/>
      <c r="B43" s="4" t="inlineStr"/>
      <c r="C43" s="4" t="inlineStr"/>
      <c r="D43" s="4" t="inlineStr">
        <is>
          <t>completed</t>
        </is>
      </c>
      <c r="E43" s="4" t="inlineStr">
        <is>
          <t>Đã hoàn thành</t>
        </is>
      </c>
    </row>
    <row r="44">
      <c r="A44" s="4" t="inlineStr"/>
      <c r="B44" s="4" t="inlineStr"/>
      <c r="C44" s="4" t="inlineStr"/>
      <c r="D44" s="4" t="inlineStr">
        <is>
          <t>plan_pct</t>
        </is>
      </c>
      <c r="E44" s="4" t="inlineStr">
        <is>
          <t>% kế hoạch tháng hiện tại</t>
        </is>
      </c>
    </row>
    <row r="45">
      <c r="A45" s="4" t="inlineStr"/>
      <c r="B45" s="4" t="inlineStr"/>
      <c r="C45" s="4" t="inlineStr"/>
      <c r="D45" s="4" t="inlineStr">
        <is>
          <t>actual_pct</t>
        </is>
      </c>
      <c r="E45" s="4" t="inlineStr">
        <is>
          <t>% thực tế tháng hiện tại</t>
        </is>
      </c>
    </row>
    <row r="46">
      <c r="A46" s="4" t="inlineStr"/>
      <c r="B46" s="4" t="inlineStr"/>
      <c r="C46" s="4" t="inlineStr"/>
      <c r="D46" s="4" t="inlineStr">
        <is>
          <t>plan_end_pct</t>
        </is>
      </c>
      <c r="E46" s="4" t="inlineStr">
        <is>
          <t>% kế hoạch cuối kỳ</t>
        </is>
      </c>
    </row>
    <row r="47">
      <c r="A47" s="4" t="inlineStr">
        <is>
          <t>orr_curve</t>
        </is>
      </c>
      <c r="B47" s="4" t="inlineStr">
        <is>
          <t>ORR theo thang</t>
        </is>
      </c>
      <c r="C47" s="4" t="inlineStr">
        <is>
          <t>Đường ORR kế hoạch/thực tế; KPI ORR lấy tháng cuối cùng có thực tế</t>
        </is>
      </c>
      <c r="D47" s="4" t="inlineStr">
        <is>
          <t>month</t>
        </is>
      </c>
      <c r="E47" s="4" t="inlineStr">
        <is>
          <t>Tháng YYYY-MM</t>
        </is>
      </c>
    </row>
    <row r="48">
      <c r="A48" s="4" t="inlineStr"/>
      <c r="B48" s="4" t="inlineStr"/>
      <c r="C48" s="4" t="inlineStr"/>
      <c r="D48" s="4" t="inlineStr">
        <is>
          <t>plan_pct</t>
        </is>
      </c>
      <c r="E48" s="4" t="inlineStr">
        <is>
          <t>% kế hoạch tổng</t>
        </is>
      </c>
    </row>
    <row r="49">
      <c r="A49" s="4" t="inlineStr"/>
      <c r="B49" s="4" t="inlineStr"/>
      <c r="C49" s="4" t="inlineStr"/>
      <c r="D49" s="4" t="inlineStr">
        <is>
          <t>actual_pct</t>
        </is>
      </c>
      <c r="E49" s="4" t="inlineStr">
        <is>
          <t>% thực tế tổng (để trống nếu chưa tới)</t>
        </is>
      </c>
    </row>
    <row r="50">
      <c r="A50" s="4" t="inlineStr">
        <is>
          <t>orr_elements</t>
        </is>
      </c>
      <c r="B50" s="4" t="inlineStr">
        <is>
          <t>ORR hang muc</t>
        </is>
      </c>
      <c r="C50" s="4" t="inlineStr">
        <is>
          <t>Bảng checklist theo hạng mục</t>
        </is>
      </c>
      <c r="D50" s="4" t="inlineStr">
        <is>
          <t>group</t>
        </is>
      </c>
      <c r="E50" s="4" t="inlineStr">
        <is>
          <t>PEOPLE / PLANT / PROCESS</t>
        </is>
      </c>
    </row>
    <row r="51">
      <c r="A51" s="4" t="inlineStr"/>
      <c r="B51" s="4" t="inlineStr"/>
      <c r="C51" s="4" t="inlineStr"/>
      <c r="D51" s="4" t="inlineStr">
        <is>
          <t>code</t>
        </is>
      </c>
      <c r="E51" s="4" t="inlineStr">
        <is>
          <t>Mã (không trùng)</t>
        </is>
      </c>
    </row>
    <row r="52">
      <c r="A52" s="4" t="inlineStr"/>
      <c r="B52" s="4" t="inlineStr"/>
      <c r="C52" s="4" t="inlineStr"/>
      <c r="D52" s="4" t="inlineStr">
        <is>
          <t>element</t>
        </is>
      </c>
      <c r="E52" s="4" t="inlineStr">
        <is>
          <t>Tên hạng mục</t>
        </is>
      </c>
    </row>
    <row r="53">
      <c r="A53" s="4" t="inlineStr"/>
      <c r="B53" s="4" t="inlineStr"/>
      <c r="C53" s="4" t="inlineStr"/>
      <c r="D53" s="4" t="inlineStr">
        <is>
          <t>items</t>
        </is>
      </c>
      <c r="E53" s="4" t="inlineStr">
        <is>
          <t>Số đầu mục</t>
        </is>
      </c>
    </row>
    <row r="54">
      <c r="A54" s="4" t="inlineStr"/>
      <c r="B54" s="4" t="inlineStr"/>
      <c r="C54" s="4" t="inlineStr"/>
      <c r="D54" s="4" t="inlineStr">
        <is>
          <t>progress_pct</t>
        </is>
      </c>
      <c r="E54" s="4" t="inlineStr">
        <is>
          <t>% tiến độ (0–100)</t>
        </is>
      </c>
    </row>
    <row r="55">
      <c r="A55" s="4" t="inlineStr">
        <is>
          <t>orr_groups</t>
        </is>
      </c>
      <c r="B55" s="4" t="inlineStr">
        <is>
          <t>ORR tong nhom</t>
        </is>
      </c>
      <c r="C55" s="4" t="inlineStr">
        <is>
          <t>Ô tổng ORR theo nhóm</t>
        </is>
      </c>
      <c r="D55" s="4" t="inlineStr">
        <is>
          <t>group</t>
        </is>
      </c>
      <c r="E55" s="4" t="inlineStr">
        <is>
          <t>PEOPLE / PLANT / PROCESS / TOTAL (giữ nguyên tên)</t>
        </is>
      </c>
    </row>
    <row r="56">
      <c r="A56" s="4" t="inlineStr"/>
      <c r="B56" s="4" t="inlineStr"/>
      <c r="C56" s="4" t="inlineStr"/>
      <c r="D56" s="4" t="inlineStr">
        <is>
          <t>items</t>
        </is>
      </c>
      <c r="E56" s="4" t="inlineStr">
        <is>
          <t>Số đầu mục</t>
        </is>
      </c>
    </row>
    <row r="57">
      <c r="A57" s="4" t="inlineStr"/>
      <c r="B57" s="4" t="inlineStr"/>
      <c r="C57" s="4" t="inlineStr"/>
      <c r="D57" s="4" t="inlineStr">
        <is>
          <t>progress_pct</t>
        </is>
      </c>
      <c r="E57" s="4" t="inlineStr">
        <is>
          <t>% tiến độ (0–100)</t>
        </is>
      </c>
    </row>
    <row r="58">
      <c r="A58" s="4" t="inlineStr">
        <is>
          <t>procedures</t>
        </is>
      </c>
      <c r="B58" s="4" t="inlineStr">
        <is>
          <t>Quy trinh</t>
        </is>
      </c>
      <c r="C58" s="4" t="inlineStr">
        <is>
          <t>Tab Quy trình</t>
        </is>
      </c>
      <c r="D58" s="4" t="inlineStr">
        <is>
          <t>id</t>
        </is>
      </c>
      <c r="E58" s="4" t="inlineStr">
        <is>
          <t>Mã (không trùng, ví dụ HSE-41)</t>
        </is>
      </c>
    </row>
    <row r="59">
      <c r="A59" s="4" t="inlineStr"/>
      <c r="B59" s="4" t="inlineStr"/>
      <c r="C59" s="4" t="inlineStr"/>
      <c r="D59" s="4" t="inlineStr">
        <is>
          <t>category</t>
        </is>
      </c>
      <c r="E59" s="4" t="inlineStr">
        <is>
          <t>"HSE" hoặc "General operations" (giữ đúng chữ)</t>
        </is>
      </c>
    </row>
    <row r="60">
      <c r="A60" s="4" t="inlineStr"/>
      <c r="B60" s="4" t="inlineStr"/>
      <c r="C60" s="4" t="inlineStr"/>
      <c r="D60" s="4" t="inlineStr">
        <is>
          <t>document</t>
        </is>
      </c>
      <c r="E60" s="4" t="inlineStr">
        <is>
          <t>Tên tài liệu</t>
        </is>
      </c>
    </row>
    <row r="61">
      <c r="A61" s="4" t="inlineStr"/>
      <c r="B61" s="4" t="inlineStr"/>
      <c r="C61" s="4" t="inlineStr"/>
      <c r="D61" s="4" t="inlineStr">
        <is>
          <t>level</t>
        </is>
      </c>
      <c r="E61" s="4" t="inlineStr">
        <is>
          <t>Company / Department</t>
        </is>
      </c>
    </row>
    <row r="62">
      <c r="A62" s="4" t="inlineStr"/>
      <c r="B62" s="4" t="inlineStr"/>
      <c r="C62" s="4" t="inlineStr"/>
      <c r="D62" s="4" t="inlineStr">
        <is>
          <t>issued</t>
        </is>
      </c>
      <c r="E62" s="4" t="inlineStr">
        <is>
          <t>"Yes" nếu đã ban hành, "No" nếu chưa</t>
        </is>
      </c>
    </row>
    <row r="63">
      <c r="A63" s="4" t="inlineStr"/>
      <c r="B63" s="4" t="inlineStr"/>
      <c r="C63" s="4" t="inlineStr"/>
      <c r="D63" s="4" t="inlineStr">
        <is>
          <t>responsible</t>
        </is>
      </c>
      <c r="E63" s="4" t="inlineStr">
        <is>
          <t>Người phụ trách</t>
        </is>
      </c>
    </row>
    <row r="64">
      <c r="A64" s="4" t="inlineStr"/>
      <c r="B64" s="4" t="inlineStr"/>
      <c r="C64" s="4" t="inlineStr"/>
      <c r="D64" s="4" t="inlineStr">
        <is>
          <t>expected</t>
        </is>
      </c>
      <c r="E64" s="4" t="inlineStr">
        <is>
          <t>Hạn, ví dụ Dec-26</t>
        </is>
      </c>
    </row>
    <row r="65">
      <c r="A65" s="4" t="inlineStr"/>
      <c r="B65" s="4" t="inlineStr"/>
      <c r="C65" s="4" t="inlineStr"/>
      <c r="D65" s="4" t="inlineStr">
        <is>
          <t>completion_pct</t>
        </is>
      </c>
      <c r="E65" s="4" t="inlineStr">
        <is>
          <t>% hoàn thành (0–100)</t>
        </is>
      </c>
    </row>
    <row r="66">
      <c r="A66" s="4" t="inlineStr"/>
      <c r="B66" s="4" t="inlineStr"/>
      <c r="C66" s="4" t="inlineStr"/>
      <c r="D66" s="4" t="inlineStr">
        <is>
          <t>remark</t>
        </is>
      </c>
      <c r="E66" s="4" t="inlineStr">
        <is>
          <t>Ghi chú</t>
        </is>
      </c>
    </row>
    <row r="67">
      <c r="A67" s="4" t="inlineStr">
        <is>
          <t>packages_no_pr</t>
        </is>
      </c>
      <c r="B67" s="4" t="inlineStr">
        <is>
          <t>Goi chua co PR</t>
        </is>
      </c>
      <c r="C67" s="4" t="inlineStr">
        <is>
          <t>Gói chưa có PR</t>
        </is>
      </c>
      <c r="D67" s="4" t="inlineStr">
        <is>
          <t>dimension</t>
        </is>
      </c>
      <c r="E67" s="4" t="inlineStr">
        <is>
          <t>status / priority / scr_timing (giữ nguyên)</t>
        </is>
      </c>
    </row>
    <row r="68">
      <c r="A68" s="4" t="inlineStr"/>
      <c r="B68" s="4" t="inlineStr"/>
      <c r="C68" s="4" t="inlineStr"/>
      <c r="D68" s="4" t="inlineStr">
        <is>
          <t>category</t>
        </is>
      </c>
      <c r="E68" s="4" t="inlineStr">
        <is>
          <t>Nhóm</t>
        </is>
      </c>
    </row>
    <row r="69">
      <c r="A69" s="4" t="inlineStr"/>
      <c r="B69" s="4" t="inlineStr"/>
      <c r="C69" s="4" t="inlineStr"/>
      <c r="D69" s="4" t="inlineStr">
        <is>
          <t>count</t>
        </is>
      </c>
      <c r="E69" s="4" t="inlineStr">
        <is>
          <t>Số gói</t>
        </is>
      </c>
    </row>
    <row r="70">
      <c r="A70" s="4" t="inlineStr">
        <is>
          <t>pr_pipeline</t>
        </is>
      </c>
      <c r="B70" s="4" t="inlineStr">
        <is>
          <t>PR dang xu ly</t>
        </is>
      </c>
      <c r="C70" s="4" t="inlineStr">
        <is>
          <t>PR theo bước</t>
        </is>
      </c>
      <c r="D70" s="4" t="inlineStr">
        <is>
          <t>stage</t>
        </is>
      </c>
      <c r="E70" s="4" t="inlineStr">
        <is>
          <t>Bước (giữ số thứ tự ở đầu)</t>
        </is>
      </c>
    </row>
    <row r="71">
      <c r="A71" s="4" t="inlineStr"/>
      <c r="B71" s="4" t="inlineStr"/>
      <c r="C71" s="4" t="inlineStr"/>
      <c r="D71" s="4" t="inlineStr">
        <is>
          <t>status</t>
        </is>
      </c>
      <c r="E71" s="4" t="inlineStr">
        <is>
          <t>"Late", "Near-late" hoặc "On time" (giữ đúng chữ)</t>
        </is>
      </c>
    </row>
    <row r="72">
      <c r="A72" s="4" t="inlineStr"/>
      <c r="B72" s="4" t="inlineStr"/>
      <c r="C72" s="4" t="inlineStr"/>
      <c r="D72" s="4" t="inlineStr">
        <is>
          <t>count</t>
        </is>
      </c>
      <c r="E72" s="4" t="inlineStr">
        <is>
          <t>Số PR</t>
        </is>
      </c>
    </row>
    <row r="73">
      <c r="A73" s="4" t="inlineStr">
        <is>
          <t>cmms</t>
        </is>
      </c>
      <c r="B73" s="4" t="inlineStr">
        <is>
          <t>CMMS</t>
        </is>
      </c>
      <c r="C73" s="4" t="inlineStr">
        <is>
          <t>CMMS (OA)</t>
        </is>
      </c>
      <c r="D73" s="4" t="inlineStr">
        <is>
          <t>package</t>
        </is>
      </c>
      <c r="E73" s="4" t="inlineStr">
        <is>
          <t>Gói</t>
        </is>
      </c>
    </row>
    <row r="74">
      <c r="A74" s="4" t="inlineStr"/>
      <c r="B74" s="4" t="inlineStr"/>
      <c r="C74" s="4" t="inlineStr"/>
      <c r="D74" s="4" t="inlineStr">
        <is>
          <t>actual_pct</t>
        </is>
      </c>
      <c r="E74" s="4" t="inlineStr">
        <is>
          <t>% thực tế</t>
        </is>
      </c>
    </row>
    <row r="75">
      <c r="A75" s="4" t="inlineStr"/>
      <c r="B75" s="4" t="inlineStr"/>
      <c r="C75" s="4" t="inlineStr"/>
      <c r="D75" s="4" t="inlineStr">
        <is>
          <t>plan_pct</t>
        </is>
      </c>
      <c r="E75" s="4" t="inlineStr">
        <is>
          <t>% kế hoạch</t>
        </is>
      </c>
    </row>
    <row r="76">
      <c r="A76" s="4" t="inlineStr">
        <is>
          <t>workstreams</t>
        </is>
      </c>
      <c r="B76" s="4" t="inlineStr">
        <is>
          <t>Trang thai cong viec</t>
        </is>
      </c>
      <c r="C76" s="4" t="inlineStr">
        <is>
          <t>Danh sách ứng dụng, logistics, điều phối, commissioning, vị trí trống</t>
        </is>
      </c>
      <c r="D76" s="4" t="inlineStr">
        <is>
          <t>area</t>
        </is>
      </c>
      <c r="E76" s="4" t="inlineStr">
        <is>
          <t>"Manpower", "Applications", "Logistics &amp; services", "Coordination" hoặc "Commissioning" (giữ đúng chữ)</t>
        </is>
      </c>
    </row>
    <row r="77">
      <c r="A77" s="4" t="inlineStr"/>
      <c r="B77" s="4" t="inlineStr"/>
      <c r="C77" s="4" t="inlineStr"/>
      <c r="D77" s="4" t="inlineStr">
        <is>
          <t>item</t>
        </is>
      </c>
      <c r="E77" s="4" t="inlineStr">
        <is>
          <t>Hạng mục ("Vacant positions" là dòng vị trí còn trống)</t>
        </is>
      </c>
    </row>
    <row r="78">
      <c r="A78" s="4" t="inlineStr"/>
      <c r="B78" s="4" t="inlineStr"/>
      <c r="C78" s="4" t="inlineStr"/>
      <c r="D78" s="4" t="inlineStr">
        <is>
          <t>status</t>
        </is>
      </c>
      <c r="E78" s="4" t="inlineStr">
        <is>
          <t>Trạng thái / bước tiếp theo</t>
        </is>
      </c>
    </row>
    <row r="79">
      <c r="A79" s="4" t="inlineStr">
        <is>
          <t>permits</t>
        </is>
      </c>
      <c r="B79" s="4" t="inlineStr">
        <is>
          <t>Giay phep</t>
        </is>
      </c>
      <c r="C79" s="4" t="inlineStr">
        <is>
          <t>Đăng ký giấy phép</t>
        </is>
      </c>
      <c r="D79" s="4" t="inlineStr">
        <is>
          <t>permit</t>
        </is>
      </c>
      <c r="E79" s="4" t="inlineStr">
        <is>
          <t>Tên giấy phép (không trùng)</t>
        </is>
      </c>
    </row>
    <row r="80">
      <c r="A80" s="4" t="inlineStr"/>
      <c r="B80" s="4" t="inlineStr"/>
      <c r="C80" s="4" t="inlineStr"/>
      <c r="D80" s="4" t="inlineStr">
        <is>
          <t>facility</t>
        </is>
      </c>
      <c r="E80" s="4" t="inlineStr">
        <is>
          <t>Áp dụng cho</t>
        </is>
      </c>
    </row>
    <row r="81">
      <c r="A81" s="4" t="inlineStr"/>
      <c r="B81" s="4" t="inlineStr"/>
      <c r="C81" s="4" t="inlineStr"/>
      <c r="D81" s="4" t="inlineStr">
        <is>
          <t>authority</t>
        </is>
      </c>
      <c r="E81" s="4" t="inlineStr">
        <is>
          <t>Cơ quan</t>
        </is>
      </c>
    </row>
    <row r="82">
      <c r="A82" s="4" t="inlineStr"/>
      <c r="B82" s="4" t="inlineStr"/>
      <c r="C82" s="4" t="inlineStr"/>
      <c r="D82" s="4" t="inlineStr">
        <is>
          <t>issue_date</t>
        </is>
      </c>
      <c r="E82" s="4" t="inlineStr">
        <is>
          <t>Ngày cấp YYYY-MM-DD</t>
        </is>
      </c>
    </row>
    <row r="83">
      <c r="A83" s="4" t="inlineStr"/>
      <c r="B83" s="4" t="inlineStr"/>
      <c r="C83" s="4" t="inlineStr"/>
      <c r="D83" s="4" t="inlineStr">
        <is>
          <t>expiry_date</t>
        </is>
      </c>
      <c r="E83" s="4" t="inlineStr">
        <is>
          <t>Ngày hết hạn YYYY-MM-DD</t>
        </is>
      </c>
    </row>
    <row r="84">
      <c r="A84" s="4" t="inlineStr"/>
      <c r="B84" s="4" t="inlineStr"/>
      <c r="C84" s="4" t="inlineStr"/>
      <c r="D84" s="4" t="inlineStr">
        <is>
          <t>renewal_date</t>
        </is>
      </c>
      <c r="E84" s="4" t="inlineStr">
        <is>
          <t>Gia hạn trước YYYY-MM-DD</t>
        </is>
      </c>
    </row>
    <row r="85">
      <c r="A85" s="4" t="inlineStr"/>
      <c r="B85" s="4" t="inlineStr"/>
      <c r="C85" s="4" t="inlineStr"/>
      <c r="D85" s="4" t="inlineStr">
        <is>
          <t>status</t>
        </is>
      </c>
      <c r="E85" s="4" t="inlineStr">
        <is>
          <t>"Issued", "Temporary", "Waiting…" hoặc ghi chú</t>
        </is>
      </c>
    </row>
    <row r="86">
      <c r="A86" s="4" t="inlineStr">
        <is>
          <t>precom_plan</t>
        </is>
      </c>
      <c r="B86" s="4" t="inlineStr">
        <is>
          <t>Pre-com</t>
        </is>
      </c>
      <c r="C86" s="4" t="inlineStr">
        <is>
          <t>Biểu đồ tiến độ pre-commissioning</t>
        </is>
      </c>
      <c r="D86" s="4" t="inlineStr">
        <is>
          <t>activity</t>
        </is>
      </c>
      <c r="E86" s="4" t="inlineStr">
        <is>
          <t>Tên hoạt động</t>
        </is>
      </c>
    </row>
    <row r="87">
      <c r="A87" s="4" t="inlineStr"/>
      <c r="B87" s="4" t="inlineStr"/>
      <c r="C87" s="4" t="inlineStr"/>
      <c r="D87" s="4" t="inlineStr">
        <is>
          <t>plan_start</t>
        </is>
      </c>
      <c r="E87" s="4" t="inlineStr">
        <is>
          <t>Bắt đầu KH YYYY-MM-DD</t>
        </is>
      </c>
    </row>
    <row r="88">
      <c r="A88" s="4" t="inlineStr"/>
      <c r="B88" s="4" t="inlineStr"/>
      <c r="C88" s="4" t="inlineStr"/>
      <c r="D88" s="4" t="inlineStr">
        <is>
          <t>plan_finish</t>
        </is>
      </c>
      <c r="E88" s="4" t="inlineStr">
        <is>
          <t>Kết thúc KH YYYY-MM-DD</t>
        </is>
      </c>
    </row>
    <row r="89">
      <c r="A89" s="4" t="inlineStr"/>
      <c r="B89" s="4" t="inlineStr"/>
      <c r="C89" s="4" t="inlineStr"/>
      <c r="D89" s="4" t="inlineStr">
        <is>
          <t>actual_start</t>
        </is>
      </c>
      <c r="E89" s="4" t="inlineStr">
        <is>
          <t>Bắt đầu thực tế YYYY-MM-DD</t>
        </is>
      </c>
    </row>
    <row r="90">
      <c r="A90" s="4" t="inlineStr"/>
      <c r="B90" s="4" t="inlineStr"/>
      <c r="C90" s="4" t="inlineStr"/>
      <c r="D90" s="4" t="inlineStr">
        <is>
          <t>actual_finish</t>
        </is>
      </c>
      <c r="E90" s="4" t="inlineStr">
        <is>
          <t>Kết thúc thực tế YYYY-MM-DD (có ngày → thanh màu xanh)</t>
        </is>
      </c>
    </row>
    <row r="91">
      <c r="A91" s="4" t="inlineStr">
        <is>
          <t>startup_sequence</t>
        </is>
      </c>
      <c r="B91" s="4" t="inlineStr">
        <is>
          <t>Trinh tu khoi dong</t>
        </is>
      </c>
      <c r="C91" s="4" t="inlineStr">
        <is>
          <t>Trình tự khởi động CPP</t>
        </is>
      </c>
      <c r="D91" s="4" t="inlineStr">
        <is>
          <t>step</t>
        </is>
      </c>
      <c r="E91" s="4" t="inlineStr">
        <is>
          <t>Số thứ tự</t>
        </is>
      </c>
    </row>
    <row r="92">
      <c r="A92" s="4" t="inlineStr"/>
      <c r="B92" s="4" t="inlineStr"/>
      <c r="C92" s="4" t="inlineStr"/>
      <c r="D92" s="4" t="inlineStr">
        <is>
          <t>phase</t>
        </is>
      </c>
      <c r="E92" s="4" t="inlineStr">
        <is>
          <t>Tên bước</t>
        </is>
      </c>
    </row>
    <row r="93">
      <c r="A93" s="4" t="inlineStr"/>
      <c r="B93" s="4" t="inlineStr"/>
      <c r="C93" s="4" t="inlineStr"/>
      <c r="D93" s="4" t="inlineStr">
        <is>
          <t>action</t>
        </is>
      </c>
      <c r="E93" s="4" t="inlineStr">
        <is>
          <t>Nội dung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02"/>
  <sheetViews>
    <sheetView tabSelected="0" workbookViewId="0">
      <pane ySplit="1" topLeftCell="A2" activePane="bottomLeft" state="frozen"/>
      <selection pane="bottomLeft" activeCell="A1" sqref="A1"/>
    </sheetView>
  </sheetViews>
  <sheetFormatPr baseColWidth="8" defaultRowHeight="15"/>
  <cols>
    <col width="13" customWidth="1" min="1" max="1"/>
    <col width="34" customWidth="1" min="2" max="2"/>
    <col width="16" customWidth="1" min="3" max="3"/>
  </cols>
  <sheetData>
    <row r="1">
      <c r="A1" t="inlineStr">
        <is>
          <t>report_date</t>
        </is>
      </c>
      <c r="B1" t="inlineStr">
        <is>
          <t>report_title</t>
        </is>
      </c>
      <c r="C1" t="inlineStr">
        <is>
          <t>prepared_by</t>
        </is>
      </c>
    </row>
    <row r="2">
      <c r="A2" s="5" t="inlineStr">
        <is>
          <t>2026-10-21</t>
        </is>
      </c>
      <c r="B2" t="inlineStr">
        <is>
          <t>Operations Readiness Preparation</t>
        </is>
      </c>
      <c r="C2" t="inlineStr">
        <is>
          <t>OPS Department</t>
        </is>
      </c>
    </row>
    <row r="3">
      <c r="A3" s="5" t="n"/>
    </row>
    <row r="4">
      <c r="A4" s="5" t="n"/>
    </row>
    <row r="5">
      <c r="A5" s="5" t="n"/>
    </row>
    <row r="6">
      <c r="A6" s="5" t="n"/>
    </row>
    <row r="7">
      <c r="A7" s="5" t="n"/>
    </row>
    <row r="8">
      <c r="A8" s="5" t="n"/>
    </row>
    <row r="9">
      <c r="A9" s="5" t="n"/>
    </row>
    <row r="10">
      <c r="A10" s="5" t="n"/>
    </row>
    <row r="11">
      <c r="A11" s="5" t="n"/>
    </row>
    <row r="12">
      <c r="A12" s="5" t="n"/>
    </row>
    <row r="13">
      <c r="A13" s="5" t="n"/>
    </row>
    <row r="14">
      <c r="A14" s="5" t="n"/>
    </row>
    <row r="15">
      <c r="A15" s="5" t="n"/>
    </row>
    <row r="16">
      <c r="A16" s="5" t="n"/>
    </row>
    <row r="17">
      <c r="A17" s="5" t="n"/>
    </row>
    <row r="18">
      <c r="A18" s="5" t="n"/>
    </row>
    <row r="19">
      <c r="A19" s="5" t="n"/>
    </row>
    <row r="20">
      <c r="A20" s="5" t="n"/>
    </row>
    <row r="21">
      <c r="A21" s="5" t="n"/>
    </row>
    <row r="22">
      <c r="A22" s="5" t="n"/>
    </row>
    <row r="23">
      <c r="A23" s="5" t="n"/>
    </row>
    <row r="24">
      <c r="A24" s="5" t="n"/>
    </row>
    <row r="25">
      <c r="A25" s="5" t="n"/>
    </row>
    <row r="26">
      <c r="A26" s="5" t="n"/>
    </row>
    <row r="27">
      <c r="A27" s="5" t="n"/>
    </row>
    <row r="28">
      <c r="A28" s="5" t="n"/>
    </row>
    <row r="29">
      <c r="A29" s="5" t="n"/>
    </row>
    <row r="30">
      <c r="A30" s="5" t="n"/>
    </row>
    <row r="31">
      <c r="A31" s="5" t="n"/>
    </row>
    <row r="32">
      <c r="A32" s="5" t="n"/>
    </row>
    <row r="33">
      <c r="A33" s="5" t="n"/>
    </row>
    <row r="34">
      <c r="A34" s="5" t="n"/>
    </row>
    <row r="35">
      <c r="A35" s="5" t="n"/>
    </row>
    <row r="36">
      <c r="A36" s="5" t="n"/>
    </row>
    <row r="37">
      <c r="A37" s="5" t="n"/>
    </row>
    <row r="38">
      <c r="A38" s="5" t="n"/>
    </row>
    <row r="39">
      <c r="A39" s="5" t="n"/>
    </row>
    <row r="40">
      <c r="A40" s="5" t="n"/>
    </row>
    <row r="41">
      <c r="A41" s="5" t="n"/>
    </row>
    <row r="42">
      <c r="A42" s="5" t="n"/>
    </row>
    <row r="43">
      <c r="A43" s="5" t="n"/>
    </row>
    <row r="44">
      <c r="A44" s="5" t="n"/>
    </row>
    <row r="45">
      <c r="A45" s="5" t="n"/>
    </row>
    <row r="46">
      <c r="A46" s="5" t="n"/>
    </row>
    <row r="47">
      <c r="A47" s="5" t="n"/>
    </row>
    <row r="48">
      <c r="A48" s="5" t="n"/>
    </row>
    <row r="49">
      <c r="A49" s="5" t="n"/>
    </row>
    <row r="50">
      <c r="A50" s="5" t="n"/>
    </row>
    <row r="51">
      <c r="A51" s="5" t="n"/>
    </row>
    <row r="52">
      <c r="A52" s="5" t="n"/>
    </row>
    <row r="53">
      <c r="A53" s="5" t="n"/>
    </row>
    <row r="54">
      <c r="A54" s="5" t="n"/>
    </row>
    <row r="55">
      <c r="A55" s="5" t="n"/>
    </row>
    <row r="56">
      <c r="A56" s="5" t="n"/>
    </row>
    <row r="57">
      <c r="A57" s="5" t="n"/>
    </row>
    <row r="58">
      <c r="A58" s="5" t="n"/>
    </row>
    <row r="59">
      <c r="A59" s="5" t="n"/>
    </row>
    <row r="60">
      <c r="A60" s="5" t="n"/>
    </row>
    <row r="61">
      <c r="A61" s="5" t="n"/>
    </row>
    <row r="62">
      <c r="A62" s="5" t="n"/>
    </row>
    <row r="63">
      <c r="A63" s="5" t="n"/>
    </row>
    <row r="64">
      <c r="A64" s="5" t="n"/>
    </row>
    <row r="65">
      <c r="A65" s="5" t="n"/>
    </row>
    <row r="66">
      <c r="A66" s="5" t="n"/>
    </row>
    <row r="67">
      <c r="A67" s="5" t="n"/>
    </row>
    <row r="68">
      <c r="A68" s="5" t="n"/>
    </row>
    <row r="69">
      <c r="A69" s="5" t="n"/>
    </row>
    <row r="70">
      <c r="A70" s="5" t="n"/>
    </row>
    <row r="71">
      <c r="A71" s="5" t="n"/>
    </row>
    <row r="72">
      <c r="A72" s="5" t="n"/>
    </row>
    <row r="73">
      <c r="A73" s="5" t="n"/>
    </row>
    <row r="74">
      <c r="A74" s="5" t="n"/>
    </row>
    <row r="75">
      <c r="A75" s="5" t="n"/>
    </row>
    <row r="76">
      <c r="A76" s="5" t="n"/>
    </row>
    <row r="77">
      <c r="A77" s="5" t="n"/>
    </row>
    <row r="78">
      <c r="A78" s="5" t="n"/>
    </row>
    <row r="79">
      <c r="A79" s="5" t="n"/>
    </row>
    <row r="80">
      <c r="A80" s="5" t="n"/>
    </row>
    <row r="81">
      <c r="A81" s="5" t="n"/>
    </row>
    <row r="82">
      <c r="A82" s="5" t="n"/>
    </row>
    <row r="83">
      <c r="A83" s="5" t="n"/>
    </row>
    <row r="84">
      <c r="A84" s="5" t="n"/>
    </row>
    <row r="85">
      <c r="A85" s="5" t="n"/>
    </row>
    <row r="86">
      <c r="A86" s="5" t="n"/>
    </row>
    <row r="87">
      <c r="A87" s="5" t="n"/>
    </row>
    <row r="88">
      <c r="A88" s="5" t="n"/>
    </row>
    <row r="89">
      <c r="A89" s="5" t="n"/>
    </row>
    <row r="90">
      <c r="A90" s="5" t="n"/>
    </row>
    <row r="91">
      <c r="A91" s="5" t="n"/>
    </row>
    <row r="92">
      <c r="A92" s="5" t="n"/>
    </row>
    <row r="93">
      <c r="A93" s="5" t="n"/>
    </row>
    <row r="94">
      <c r="A94" s="5" t="n"/>
    </row>
    <row r="95">
      <c r="A95" s="5" t="n"/>
    </row>
    <row r="96">
      <c r="A96" s="5" t="n"/>
    </row>
    <row r="97">
      <c r="A97" s="5" t="n"/>
    </row>
    <row r="98">
      <c r="A98" s="5" t="n"/>
    </row>
    <row r="99">
      <c r="A99" s="5" t="n"/>
    </row>
    <row r="100">
      <c r="A100" s="5" t="n"/>
    </row>
    <row r="101">
      <c r="A101" s="5" t="n"/>
    </row>
    <row r="102">
      <c r="A102" s="5" t="n"/>
    </row>
    <row r="103">
      <c r="A103" s="5" t="n"/>
    </row>
    <row r="104">
      <c r="A104" s="5" t="n"/>
    </row>
    <row r="105">
      <c r="A105" s="5" t="n"/>
    </row>
    <row r="106">
      <c r="A106" s="5" t="n"/>
    </row>
    <row r="107">
      <c r="A107" s="5" t="n"/>
    </row>
    <row r="108">
      <c r="A108" s="5" t="n"/>
    </row>
    <row r="109">
      <c r="A109" s="5" t="n"/>
    </row>
    <row r="110">
      <c r="A110" s="5" t="n"/>
    </row>
    <row r="111">
      <c r="A111" s="5" t="n"/>
    </row>
    <row r="112">
      <c r="A112" s="5" t="n"/>
    </row>
    <row r="113">
      <c r="A113" s="5" t="n"/>
    </row>
    <row r="114">
      <c r="A114" s="5" t="n"/>
    </row>
    <row r="115">
      <c r="A115" s="5" t="n"/>
    </row>
    <row r="116">
      <c r="A116" s="5" t="n"/>
    </row>
    <row r="117">
      <c r="A117" s="5" t="n"/>
    </row>
    <row r="118">
      <c r="A118" s="5" t="n"/>
    </row>
    <row r="119">
      <c r="A119" s="5" t="n"/>
    </row>
    <row r="120">
      <c r="A120" s="5" t="n"/>
    </row>
    <row r="121">
      <c r="A121" s="5" t="n"/>
    </row>
    <row r="122">
      <c r="A122" s="5" t="n"/>
    </row>
    <row r="123">
      <c r="A123" s="5" t="n"/>
    </row>
    <row r="124">
      <c r="A124" s="5" t="n"/>
    </row>
    <row r="125">
      <c r="A125" s="5" t="n"/>
    </row>
    <row r="126">
      <c r="A126" s="5" t="n"/>
    </row>
    <row r="127">
      <c r="A127" s="5" t="n"/>
    </row>
    <row r="128">
      <c r="A128" s="5" t="n"/>
    </row>
    <row r="129">
      <c r="A129" s="5" t="n"/>
    </row>
    <row r="130">
      <c r="A130" s="5" t="n"/>
    </row>
    <row r="131">
      <c r="A131" s="5" t="n"/>
    </row>
    <row r="132">
      <c r="A132" s="5" t="n"/>
    </row>
    <row r="133">
      <c r="A133" s="5" t="n"/>
    </row>
    <row r="134">
      <c r="A134" s="5" t="n"/>
    </row>
    <row r="135">
      <c r="A135" s="5" t="n"/>
    </row>
    <row r="136">
      <c r="A136" s="5" t="n"/>
    </row>
    <row r="137">
      <c r="A137" s="5" t="n"/>
    </row>
    <row r="138">
      <c r="A138" s="5" t="n"/>
    </row>
    <row r="139">
      <c r="A139" s="5" t="n"/>
    </row>
    <row r="140">
      <c r="A140" s="5" t="n"/>
    </row>
    <row r="141">
      <c r="A141" s="5" t="n"/>
    </row>
    <row r="142">
      <c r="A142" s="5" t="n"/>
    </row>
    <row r="143">
      <c r="A143" s="5" t="n"/>
    </row>
    <row r="144">
      <c r="A144" s="5" t="n"/>
    </row>
    <row r="145">
      <c r="A145" s="5" t="n"/>
    </row>
    <row r="146">
      <c r="A146" s="5" t="n"/>
    </row>
    <row r="147">
      <c r="A147" s="5" t="n"/>
    </row>
    <row r="148">
      <c r="A148" s="5" t="n"/>
    </row>
    <row r="149">
      <c r="A149" s="5" t="n"/>
    </row>
    <row r="150">
      <c r="A150" s="5" t="n"/>
    </row>
    <row r="151">
      <c r="A151" s="5" t="n"/>
    </row>
    <row r="152">
      <c r="A152" s="5" t="n"/>
    </row>
    <row r="153">
      <c r="A153" s="5" t="n"/>
    </row>
    <row r="154">
      <c r="A154" s="5" t="n"/>
    </row>
    <row r="155">
      <c r="A155" s="5" t="n"/>
    </row>
    <row r="156">
      <c r="A156" s="5" t="n"/>
    </row>
    <row r="157">
      <c r="A157" s="5" t="n"/>
    </row>
    <row r="158">
      <c r="A158" s="5" t="n"/>
    </row>
    <row r="159">
      <c r="A159" s="5" t="n"/>
    </row>
    <row r="160">
      <c r="A160" s="5" t="n"/>
    </row>
    <row r="161">
      <c r="A161" s="5" t="n"/>
    </row>
    <row r="162">
      <c r="A162" s="5" t="n"/>
    </row>
    <row r="163">
      <c r="A163" s="5" t="n"/>
    </row>
    <row r="164">
      <c r="A164" s="5" t="n"/>
    </row>
    <row r="165">
      <c r="A165" s="5" t="n"/>
    </row>
    <row r="166">
      <c r="A166" s="5" t="n"/>
    </row>
    <row r="167">
      <c r="A167" s="5" t="n"/>
    </row>
    <row r="168">
      <c r="A168" s="5" t="n"/>
    </row>
    <row r="169">
      <c r="A169" s="5" t="n"/>
    </row>
    <row r="170">
      <c r="A170" s="5" t="n"/>
    </row>
    <row r="171">
      <c r="A171" s="5" t="n"/>
    </row>
    <row r="172">
      <c r="A172" s="5" t="n"/>
    </row>
    <row r="173">
      <c r="A173" s="5" t="n"/>
    </row>
    <row r="174">
      <c r="A174" s="5" t="n"/>
    </row>
    <row r="175">
      <c r="A175" s="5" t="n"/>
    </row>
    <row r="176">
      <c r="A176" s="5" t="n"/>
    </row>
    <row r="177">
      <c r="A177" s="5" t="n"/>
    </row>
    <row r="178">
      <c r="A178" s="5" t="n"/>
    </row>
    <row r="179">
      <c r="A179" s="5" t="n"/>
    </row>
    <row r="180">
      <c r="A180" s="5" t="n"/>
    </row>
    <row r="181">
      <c r="A181" s="5" t="n"/>
    </row>
    <row r="182">
      <c r="A182" s="5" t="n"/>
    </row>
    <row r="183">
      <c r="A183" s="5" t="n"/>
    </row>
    <row r="184">
      <c r="A184" s="5" t="n"/>
    </row>
    <row r="185">
      <c r="A185" s="5" t="n"/>
    </row>
    <row r="186">
      <c r="A186" s="5" t="n"/>
    </row>
    <row r="187">
      <c r="A187" s="5" t="n"/>
    </row>
    <row r="188">
      <c r="A188" s="5" t="n"/>
    </row>
    <row r="189">
      <c r="A189" s="5" t="n"/>
    </row>
    <row r="190">
      <c r="A190" s="5" t="n"/>
    </row>
    <row r="191">
      <c r="A191" s="5" t="n"/>
    </row>
    <row r="192">
      <c r="A192" s="5" t="n"/>
    </row>
    <row r="193">
      <c r="A193" s="5" t="n"/>
    </row>
    <row r="194">
      <c r="A194" s="5" t="n"/>
    </row>
    <row r="195">
      <c r="A195" s="5" t="n"/>
    </row>
    <row r="196">
      <c r="A196" s="5" t="n"/>
    </row>
    <row r="197">
      <c r="A197" s="5" t="n"/>
    </row>
    <row r="198">
      <c r="A198" s="5" t="n"/>
    </row>
    <row r="199">
      <c r="A199" s="5" t="n"/>
    </row>
    <row r="200">
      <c r="A200" s="5" t="n"/>
    </row>
    <row r="201">
      <c r="A201" s="5" t="n"/>
    </row>
    <row r="202">
      <c r="A202" s="5" t="n"/>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G261"/>
  <sheetViews>
    <sheetView tabSelected="0" workbookViewId="0">
      <pane ySplit="1" topLeftCell="A2" activePane="bottomLeft" state="frozen"/>
      <selection pane="bottomLeft" activeCell="A1" sqref="A1"/>
    </sheetView>
  </sheetViews>
  <sheetFormatPr baseColWidth="8" defaultRowHeight="15"/>
  <cols>
    <col width="10" customWidth="1" min="1" max="1"/>
    <col width="14" customWidth="1" min="2" max="2"/>
    <col width="16" customWidth="1" min="3" max="3"/>
    <col width="15" customWidth="1" min="4" max="4"/>
    <col width="17" customWidth="1" min="5" max="5"/>
    <col width="12" customWidth="1" min="6" max="6"/>
    <col width="14" customWidth="1" min="7" max="7"/>
  </cols>
  <sheetData>
    <row r="1">
      <c r="A1" t="inlineStr">
        <is>
          <t>month</t>
        </is>
      </c>
      <c r="B1" t="inlineStr">
        <is>
          <t>onshore_plan</t>
        </is>
      </c>
      <c r="C1" t="inlineStr">
        <is>
          <t>onshore_actual</t>
        </is>
      </c>
      <c r="D1" t="inlineStr">
        <is>
          <t>offshore_plan</t>
        </is>
      </c>
      <c r="E1" t="inlineStr">
        <is>
          <t>offshore_actual</t>
        </is>
      </c>
      <c r="F1" t="inlineStr">
        <is>
          <t>total_plan</t>
        </is>
      </c>
      <c r="G1" t="inlineStr">
        <is>
          <t>total_actual</t>
        </is>
      </c>
    </row>
    <row r="2">
      <c r="A2" s="5" t="inlineStr">
        <is>
          <t>2024-01</t>
        </is>
      </c>
      <c r="B2" t="n">
        <v>5</v>
      </c>
      <c r="C2" t="n">
        <v>5</v>
      </c>
      <c r="D2" t="n">
        <v>2</v>
      </c>
      <c r="E2" t="n">
        <v>2</v>
      </c>
      <c r="F2" t="n">
        <v>7</v>
      </c>
      <c r="G2" t="n">
        <v>7</v>
      </c>
    </row>
    <row r="3">
      <c r="A3" s="5" t="inlineStr">
        <is>
          <t>2024-02</t>
        </is>
      </c>
      <c r="B3" t="n">
        <v>5</v>
      </c>
      <c r="C3" t="n">
        <v>5</v>
      </c>
      <c r="D3" t="n">
        <v>2</v>
      </c>
      <c r="E3" t="n">
        <v>2</v>
      </c>
      <c r="F3" t="n">
        <v>7</v>
      </c>
      <c r="G3" t="n">
        <v>7</v>
      </c>
    </row>
    <row r="4">
      <c r="A4" s="5" t="inlineStr">
        <is>
          <t>2024-03</t>
        </is>
      </c>
      <c r="B4" t="n">
        <v>5</v>
      </c>
      <c r="C4" t="n">
        <v>5</v>
      </c>
      <c r="D4" t="n">
        <v>2</v>
      </c>
      <c r="E4" t="n">
        <v>2</v>
      </c>
      <c r="F4" t="n">
        <v>7</v>
      </c>
      <c r="G4" t="n">
        <v>7</v>
      </c>
    </row>
    <row r="5">
      <c r="A5" s="5" t="inlineStr">
        <is>
          <t>2024-04</t>
        </is>
      </c>
      <c r="B5" t="n">
        <v>5</v>
      </c>
      <c r="C5" t="n">
        <v>5</v>
      </c>
      <c r="D5" t="n">
        <v>2</v>
      </c>
      <c r="E5" t="n">
        <v>2</v>
      </c>
      <c r="F5" t="n">
        <v>7</v>
      </c>
      <c r="G5" t="n">
        <v>7</v>
      </c>
    </row>
    <row r="6">
      <c r="A6" s="5" t="inlineStr">
        <is>
          <t>2024-05</t>
        </is>
      </c>
      <c r="B6" t="n">
        <v>5</v>
      </c>
      <c r="C6" t="n">
        <v>5</v>
      </c>
      <c r="D6" t="n">
        <v>2</v>
      </c>
      <c r="E6" t="n">
        <v>2</v>
      </c>
      <c r="F6" t="n">
        <v>7</v>
      </c>
      <c r="G6" t="n">
        <v>7</v>
      </c>
    </row>
    <row r="7">
      <c r="A7" s="5" t="inlineStr">
        <is>
          <t>2024-06</t>
        </is>
      </c>
      <c r="B7" t="n">
        <v>5</v>
      </c>
      <c r="C7" t="n">
        <v>5</v>
      </c>
      <c r="D7" t="n">
        <v>2</v>
      </c>
      <c r="E7" t="n">
        <v>2</v>
      </c>
      <c r="F7" t="n">
        <v>7</v>
      </c>
      <c r="G7" t="n">
        <v>7</v>
      </c>
    </row>
    <row r="8">
      <c r="A8" s="5" t="inlineStr">
        <is>
          <t>2024-07</t>
        </is>
      </c>
      <c r="B8" t="n">
        <v>7</v>
      </c>
      <c r="C8" t="n">
        <v>7</v>
      </c>
      <c r="D8" t="n">
        <v>2</v>
      </c>
      <c r="E8" t="n">
        <v>2</v>
      </c>
      <c r="F8" t="n">
        <v>9</v>
      </c>
      <c r="G8" t="n">
        <v>9</v>
      </c>
    </row>
    <row r="9">
      <c r="A9" s="5" t="inlineStr">
        <is>
          <t>2024-08</t>
        </is>
      </c>
      <c r="B9" t="n">
        <v>8</v>
      </c>
      <c r="C9" t="n">
        <v>8</v>
      </c>
      <c r="D9" t="n">
        <v>6</v>
      </c>
      <c r="E9" t="n">
        <v>6</v>
      </c>
      <c r="F9" t="n">
        <v>14</v>
      </c>
      <c r="G9" t="n">
        <v>14</v>
      </c>
    </row>
    <row r="10">
      <c r="A10" s="5" t="inlineStr">
        <is>
          <t>2024-09</t>
        </is>
      </c>
      <c r="B10" t="n">
        <v>11</v>
      </c>
      <c r="C10" t="n">
        <v>11</v>
      </c>
      <c r="D10" t="n">
        <v>6</v>
      </c>
      <c r="E10" t="n">
        <v>6</v>
      </c>
      <c r="F10" t="n">
        <v>17</v>
      </c>
      <c r="G10" t="n">
        <v>17</v>
      </c>
    </row>
    <row r="11">
      <c r="A11" s="5" t="inlineStr">
        <is>
          <t>2024-10</t>
        </is>
      </c>
      <c r="B11" t="n">
        <v>13</v>
      </c>
      <c r="C11" t="n">
        <v>13</v>
      </c>
      <c r="D11" t="n">
        <v>6</v>
      </c>
      <c r="E11" t="n">
        <v>6</v>
      </c>
      <c r="F11" t="n">
        <v>19</v>
      </c>
      <c r="G11" t="n">
        <v>19</v>
      </c>
    </row>
    <row r="12">
      <c r="A12" s="5" t="inlineStr">
        <is>
          <t>2024-11</t>
        </is>
      </c>
      <c r="B12" t="n">
        <v>13</v>
      </c>
      <c r="C12" t="n">
        <v>13</v>
      </c>
      <c r="D12" t="n">
        <v>6</v>
      </c>
      <c r="E12" t="n">
        <v>6</v>
      </c>
      <c r="F12" t="n">
        <v>19</v>
      </c>
      <c r="G12" t="n">
        <v>19</v>
      </c>
    </row>
    <row r="13">
      <c r="A13" s="5" t="inlineStr">
        <is>
          <t>2024-12</t>
        </is>
      </c>
      <c r="B13" t="n">
        <v>13</v>
      </c>
      <c r="C13" t="n">
        <v>13</v>
      </c>
      <c r="D13" t="n">
        <v>6</v>
      </c>
      <c r="E13" t="n">
        <v>6</v>
      </c>
      <c r="F13" t="n">
        <v>19</v>
      </c>
      <c r="G13" t="n">
        <v>19</v>
      </c>
    </row>
    <row r="14">
      <c r="A14" s="5" t="inlineStr">
        <is>
          <t>2025-01</t>
        </is>
      </c>
      <c r="B14" t="n">
        <v>18</v>
      </c>
      <c r="C14" t="n">
        <v>13</v>
      </c>
      <c r="D14" t="n">
        <v>6</v>
      </c>
      <c r="E14" t="n">
        <v>6</v>
      </c>
      <c r="F14" t="n">
        <v>24</v>
      </c>
      <c r="G14" t="n">
        <v>19</v>
      </c>
    </row>
    <row r="15">
      <c r="A15" s="5" t="inlineStr">
        <is>
          <t>2025-02</t>
        </is>
      </c>
      <c r="B15" t="n">
        <v>18</v>
      </c>
      <c r="C15" t="n">
        <v>13</v>
      </c>
      <c r="D15" t="n">
        <v>6</v>
      </c>
      <c r="E15" t="n">
        <v>6</v>
      </c>
      <c r="F15" t="n">
        <v>24</v>
      </c>
      <c r="G15" t="n">
        <v>19</v>
      </c>
    </row>
    <row r="16">
      <c r="A16" s="5" t="inlineStr">
        <is>
          <t>2025-03</t>
        </is>
      </c>
      <c r="B16" t="n">
        <v>18</v>
      </c>
      <c r="C16" t="n">
        <v>16</v>
      </c>
      <c r="D16" t="n">
        <v>6</v>
      </c>
      <c r="E16" t="n">
        <v>6</v>
      </c>
      <c r="F16" t="n">
        <v>24</v>
      </c>
      <c r="G16" t="n">
        <v>22</v>
      </c>
    </row>
    <row r="17">
      <c r="A17" s="5" t="inlineStr">
        <is>
          <t>2025-04</t>
        </is>
      </c>
      <c r="B17" t="n">
        <v>19</v>
      </c>
      <c r="C17" t="n">
        <v>16</v>
      </c>
      <c r="D17" t="n">
        <v>6</v>
      </c>
      <c r="E17" t="n">
        <v>6</v>
      </c>
      <c r="F17" t="n">
        <v>25</v>
      </c>
      <c r="G17" t="n">
        <v>22</v>
      </c>
    </row>
    <row r="18">
      <c r="A18" s="5" t="inlineStr">
        <is>
          <t>2025-05</t>
        </is>
      </c>
      <c r="B18" t="n">
        <v>19</v>
      </c>
      <c r="C18" t="n">
        <v>16</v>
      </c>
      <c r="D18" t="n">
        <v>6</v>
      </c>
      <c r="E18" t="n">
        <v>6</v>
      </c>
      <c r="F18" t="n">
        <v>25</v>
      </c>
      <c r="G18" t="n">
        <v>22</v>
      </c>
    </row>
    <row r="19">
      <c r="A19" s="5" t="inlineStr">
        <is>
          <t>2025-06</t>
        </is>
      </c>
      <c r="B19" t="n">
        <v>20</v>
      </c>
      <c r="C19" t="n">
        <v>18</v>
      </c>
      <c r="D19" t="n">
        <v>6</v>
      </c>
      <c r="E19" t="n">
        <v>6</v>
      </c>
      <c r="F19" t="n">
        <v>26</v>
      </c>
      <c r="G19" t="n">
        <v>24</v>
      </c>
    </row>
    <row r="20">
      <c r="A20" s="5" t="inlineStr">
        <is>
          <t>2025-07</t>
        </is>
      </c>
      <c r="B20" t="n">
        <v>20</v>
      </c>
      <c r="C20" t="n">
        <v>20</v>
      </c>
      <c r="D20" t="n">
        <v>7</v>
      </c>
      <c r="E20" t="n">
        <v>7</v>
      </c>
      <c r="F20" t="n">
        <v>27</v>
      </c>
      <c r="G20" t="n">
        <v>27</v>
      </c>
    </row>
    <row r="21">
      <c r="A21" s="5" t="inlineStr">
        <is>
          <t>2025-08</t>
        </is>
      </c>
      <c r="B21" t="n">
        <v>20</v>
      </c>
      <c r="C21" t="n">
        <v>20</v>
      </c>
      <c r="D21" t="n">
        <v>7</v>
      </c>
      <c r="E21" t="n">
        <v>7</v>
      </c>
      <c r="F21" t="n">
        <v>27</v>
      </c>
      <c r="G21" t="n">
        <v>27</v>
      </c>
    </row>
    <row r="22">
      <c r="A22" s="5" t="inlineStr">
        <is>
          <t>2025-09</t>
        </is>
      </c>
      <c r="B22" t="n">
        <v>21</v>
      </c>
      <c r="C22" t="n">
        <v>20</v>
      </c>
      <c r="D22" t="n">
        <v>7</v>
      </c>
      <c r="E22" t="n">
        <v>7</v>
      </c>
      <c r="F22" t="n">
        <v>28</v>
      </c>
      <c r="G22" t="n">
        <v>27</v>
      </c>
    </row>
    <row r="23">
      <c r="A23" s="5" t="inlineStr">
        <is>
          <t>2025-10</t>
        </is>
      </c>
      <c r="B23" t="n">
        <v>21</v>
      </c>
      <c r="C23" t="n">
        <v>20</v>
      </c>
      <c r="D23" t="n">
        <v>7</v>
      </c>
      <c r="E23" t="n">
        <v>7</v>
      </c>
      <c r="F23" t="n">
        <v>28</v>
      </c>
      <c r="G23" t="n">
        <v>27</v>
      </c>
    </row>
    <row r="24">
      <c r="A24" s="5" t="inlineStr">
        <is>
          <t>2025-11</t>
        </is>
      </c>
      <c r="B24" t="n">
        <v>21</v>
      </c>
      <c r="C24" t="n">
        <v>18</v>
      </c>
      <c r="D24" t="n">
        <v>7</v>
      </c>
      <c r="E24" t="n">
        <v>7</v>
      </c>
      <c r="F24" t="n">
        <v>28</v>
      </c>
      <c r="G24" t="n">
        <v>25</v>
      </c>
    </row>
    <row r="25">
      <c r="A25" s="5" t="inlineStr">
        <is>
          <t>2025-12</t>
        </is>
      </c>
      <c r="B25" t="n">
        <v>21</v>
      </c>
      <c r="C25" t="n">
        <v>19</v>
      </c>
      <c r="D25" t="n">
        <v>7</v>
      </c>
      <c r="E25" t="n">
        <v>8</v>
      </c>
      <c r="F25" t="n">
        <v>28</v>
      </c>
      <c r="G25" t="n">
        <v>27</v>
      </c>
    </row>
    <row r="26">
      <c r="A26" s="5" t="inlineStr">
        <is>
          <t>2026-01</t>
        </is>
      </c>
      <c r="B26" t="n">
        <v>29</v>
      </c>
      <c r="C26" t="n">
        <v>18</v>
      </c>
      <c r="D26" t="n">
        <v>23</v>
      </c>
      <c r="E26" t="n">
        <v>9</v>
      </c>
      <c r="F26" t="n">
        <v>52</v>
      </c>
      <c r="G26" t="n">
        <v>27</v>
      </c>
    </row>
    <row r="27">
      <c r="A27" s="5" t="inlineStr">
        <is>
          <t>2026-02</t>
        </is>
      </c>
      <c r="B27" t="n">
        <v>29</v>
      </c>
      <c r="C27" t="n">
        <v>19</v>
      </c>
      <c r="D27" t="n">
        <v>23</v>
      </c>
      <c r="E27" t="n">
        <v>16</v>
      </c>
      <c r="F27" t="n">
        <v>52</v>
      </c>
      <c r="G27" t="n">
        <v>35</v>
      </c>
    </row>
    <row r="28">
      <c r="A28" s="5" t="inlineStr">
        <is>
          <t>2026-03</t>
        </is>
      </c>
      <c r="B28" t="n">
        <v>29</v>
      </c>
      <c r="C28" t="n">
        <v>23</v>
      </c>
      <c r="D28" t="n">
        <v>23</v>
      </c>
      <c r="E28" t="n">
        <v>20</v>
      </c>
      <c r="F28" t="n">
        <v>52</v>
      </c>
      <c r="G28" t="n">
        <v>43</v>
      </c>
    </row>
    <row r="29">
      <c r="A29" s="5" t="inlineStr">
        <is>
          <t>2026-04</t>
        </is>
      </c>
      <c r="B29" t="n">
        <v>33</v>
      </c>
      <c r="C29" t="n">
        <v>24</v>
      </c>
      <c r="D29" t="n">
        <v>35</v>
      </c>
      <c r="E29" t="n">
        <v>25</v>
      </c>
      <c r="F29" t="n">
        <v>68</v>
      </c>
      <c r="G29" t="n">
        <v>49</v>
      </c>
    </row>
    <row r="30">
      <c r="A30" s="5" t="inlineStr">
        <is>
          <t>2026-05</t>
        </is>
      </c>
      <c r="B30" t="n">
        <v>33</v>
      </c>
      <c r="C30" t="n">
        <v>24</v>
      </c>
      <c r="D30" t="n">
        <v>35</v>
      </c>
      <c r="E30" t="n">
        <v>32</v>
      </c>
      <c r="F30" t="n">
        <v>68</v>
      </c>
      <c r="G30" t="n">
        <v>56</v>
      </c>
    </row>
    <row r="31">
      <c r="A31" s="5" t="inlineStr">
        <is>
          <t>2026-06</t>
        </is>
      </c>
      <c r="B31" t="n">
        <v>33</v>
      </c>
      <c r="C31" t="n">
        <v>28</v>
      </c>
      <c r="D31" t="n">
        <v>35</v>
      </c>
      <c r="E31" t="n">
        <v>36</v>
      </c>
      <c r="F31" t="n">
        <v>68</v>
      </c>
      <c r="G31" t="n">
        <v>64</v>
      </c>
    </row>
    <row r="32">
      <c r="A32" s="5" t="inlineStr">
        <is>
          <t>2026-07</t>
        </is>
      </c>
      <c r="B32" t="n">
        <v>34</v>
      </c>
      <c r="C32" t="n">
        <v>28</v>
      </c>
      <c r="D32" t="n">
        <v>50</v>
      </c>
      <c r="E32" t="n">
        <v>39</v>
      </c>
      <c r="F32" t="n">
        <v>84</v>
      </c>
      <c r="G32" t="n">
        <v>67</v>
      </c>
    </row>
    <row r="33">
      <c r="A33" s="5" t="inlineStr">
        <is>
          <t>2026-08</t>
        </is>
      </c>
      <c r="B33" t="n">
        <v>34</v>
      </c>
      <c r="C33" t="n">
        <v>29</v>
      </c>
      <c r="D33" t="n">
        <v>88</v>
      </c>
      <c r="E33" t="n">
        <v>42</v>
      </c>
      <c r="F33" t="n">
        <v>122</v>
      </c>
      <c r="G33" t="n">
        <v>71</v>
      </c>
    </row>
    <row r="34">
      <c r="A34" s="5" t="inlineStr">
        <is>
          <t>2026-09</t>
        </is>
      </c>
      <c r="B34" t="n">
        <v>34</v>
      </c>
      <c r="C34" t="n">
        <v>33</v>
      </c>
      <c r="D34" t="n">
        <v>88</v>
      </c>
      <c r="E34" t="n">
        <v>46</v>
      </c>
      <c r="F34" t="n">
        <v>122</v>
      </c>
      <c r="G34" t="n">
        <v>79</v>
      </c>
    </row>
    <row r="35">
      <c r="A35" s="5" t="inlineStr">
        <is>
          <t>2026-10</t>
        </is>
      </c>
      <c r="B35" t="n">
        <v>34</v>
      </c>
      <c r="C35" t="n">
        <v>32</v>
      </c>
      <c r="D35" t="n">
        <v>88</v>
      </c>
      <c r="E35" t="n">
        <v>47</v>
      </c>
      <c r="F35" t="n">
        <v>122</v>
      </c>
      <c r="G35" t="n">
        <v>78</v>
      </c>
    </row>
    <row r="36">
      <c r="A36" s="5" t="inlineStr">
        <is>
          <t>2026-11</t>
        </is>
      </c>
      <c r="B36" t="n">
        <v>34</v>
      </c>
      <c r="D36" t="n">
        <v>88</v>
      </c>
      <c r="F36" t="n">
        <v>122</v>
      </c>
    </row>
    <row r="37">
      <c r="A37" s="5" t="inlineStr">
        <is>
          <t>2026-12</t>
        </is>
      </c>
      <c r="B37" t="n">
        <v>34</v>
      </c>
      <c r="D37" t="n">
        <v>88</v>
      </c>
      <c r="F37" t="n">
        <v>122</v>
      </c>
    </row>
    <row r="38">
      <c r="A38" s="5" t="inlineStr">
        <is>
          <t>2027-01</t>
        </is>
      </c>
      <c r="B38" t="n">
        <v>34</v>
      </c>
      <c r="D38" t="n">
        <v>99</v>
      </c>
      <c r="F38" t="n">
        <v>133</v>
      </c>
    </row>
    <row r="39">
      <c r="A39" s="5" t="inlineStr">
        <is>
          <t>2027-02</t>
        </is>
      </c>
      <c r="B39" t="n">
        <v>34</v>
      </c>
      <c r="D39" t="n">
        <v>99</v>
      </c>
      <c r="F39" t="n">
        <v>133</v>
      </c>
    </row>
    <row r="40">
      <c r="A40" s="5" t="inlineStr">
        <is>
          <t>2027-03</t>
        </is>
      </c>
      <c r="B40" t="n">
        <v>34</v>
      </c>
      <c r="D40" t="n">
        <v>119</v>
      </c>
      <c r="F40" t="n">
        <v>153</v>
      </c>
    </row>
    <row r="41">
      <c r="A41" s="5" t="inlineStr">
        <is>
          <t>2027-04</t>
        </is>
      </c>
      <c r="B41" t="n">
        <v>34</v>
      </c>
      <c r="D41" t="n">
        <v>131</v>
      </c>
      <c r="F41" t="n">
        <v>165</v>
      </c>
    </row>
    <row r="42">
      <c r="A42" s="5" t="inlineStr">
        <is>
          <t>2027-05</t>
        </is>
      </c>
      <c r="B42" t="n">
        <v>34</v>
      </c>
      <c r="D42" t="n">
        <v>131</v>
      </c>
      <c r="F42" t="n">
        <v>165</v>
      </c>
    </row>
    <row r="43">
      <c r="A43" s="5" t="inlineStr">
        <is>
          <t>2027-06</t>
        </is>
      </c>
      <c r="B43" t="n">
        <v>34</v>
      </c>
      <c r="D43" t="n">
        <v>131</v>
      </c>
      <c r="F43" t="n">
        <v>165</v>
      </c>
    </row>
    <row r="44">
      <c r="A44" s="5" t="inlineStr">
        <is>
          <t>2027-07</t>
        </is>
      </c>
      <c r="B44" t="n">
        <v>34</v>
      </c>
      <c r="D44" t="n">
        <v>132</v>
      </c>
      <c r="F44" t="n">
        <v>166</v>
      </c>
    </row>
    <row r="45">
      <c r="A45" s="5" t="inlineStr">
        <is>
          <t>2027-08</t>
        </is>
      </c>
      <c r="B45" t="n">
        <v>34</v>
      </c>
      <c r="D45" t="n">
        <v>132</v>
      </c>
      <c r="F45" t="n">
        <v>166</v>
      </c>
    </row>
    <row r="46">
      <c r="A46" s="5" t="inlineStr">
        <is>
          <t>2027-09</t>
        </is>
      </c>
      <c r="B46" t="n">
        <v>34</v>
      </c>
      <c r="D46" t="n">
        <v>132</v>
      </c>
      <c r="F46" t="n">
        <v>166</v>
      </c>
    </row>
    <row r="47">
      <c r="A47" s="5" t="inlineStr">
        <is>
          <t>2027-10</t>
        </is>
      </c>
      <c r="B47" t="n">
        <v>34</v>
      </c>
      <c r="D47" t="n">
        <v>132</v>
      </c>
      <c r="F47" t="n">
        <v>166</v>
      </c>
    </row>
    <row r="48">
      <c r="A48" s="5" t="inlineStr">
        <is>
          <t>2027-11</t>
        </is>
      </c>
      <c r="B48" t="n">
        <v>34</v>
      </c>
      <c r="D48" t="n">
        <v>132</v>
      </c>
      <c r="F48" t="n">
        <v>166</v>
      </c>
    </row>
    <row r="49">
      <c r="A49" s="5" t="inlineStr">
        <is>
          <t>2027-12</t>
        </is>
      </c>
      <c r="B49" t="n">
        <v>34</v>
      </c>
      <c r="D49" t="n">
        <v>132</v>
      </c>
      <c r="F49" t="n">
        <v>166</v>
      </c>
    </row>
    <row r="50">
      <c r="A50" s="5" t="inlineStr">
        <is>
          <t>2028-01</t>
        </is>
      </c>
      <c r="B50" t="n">
        <v>34</v>
      </c>
      <c r="D50" t="n">
        <v>132</v>
      </c>
      <c r="F50" t="n">
        <v>166</v>
      </c>
    </row>
    <row r="51">
      <c r="A51" s="5" t="inlineStr">
        <is>
          <t>2028-02</t>
        </is>
      </c>
      <c r="B51" t="n">
        <v>34</v>
      </c>
      <c r="D51" t="n">
        <v>132</v>
      </c>
      <c r="F51" t="n">
        <v>166</v>
      </c>
    </row>
    <row r="52">
      <c r="A52" s="5" t="inlineStr">
        <is>
          <t>2028-03</t>
        </is>
      </c>
      <c r="B52" t="n">
        <v>34</v>
      </c>
      <c r="D52" t="n">
        <v>132</v>
      </c>
      <c r="F52" t="n">
        <v>166</v>
      </c>
    </row>
    <row r="53">
      <c r="A53" s="5" t="inlineStr">
        <is>
          <t>2028-04</t>
        </is>
      </c>
      <c r="B53" t="n">
        <v>34</v>
      </c>
      <c r="D53" t="n">
        <v>132</v>
      </c>
      <c r="F53" t="n">
        <v>166</v>
      </c>
    </row>
    <row r="54">
      <c r="A54" s="5" t="inlineStr">
        <is>
          <t>2028-05</t>
        </is>
      </c>
      <c r="B54" t="n">
        <v>34</v>
      </c>
      <c r="D54" t="n">
        <v>132</v>
      </c>
      <c r="F54" t="n">
        <v>166</v>
      </c>
    </row>
    <row r="55">
      <c r="A55" s="5" t="inlineStr">
        <is>
          <t>2028-06</t>
        </is>
      </c>
      <c r="B55" t="n">
        <v>34</v>
      </c>
      <c r="D55" t="n">
        <v>132</v>
      </c>
      <c r="F55" t="n">
        <v>166</v>
      </c>
    </row>
    <row r="56">
      <c r="A56" s="5" t="inlineStr">
        <is>
          <t>2028-07</t>
        </is>
      </c>
      <c r="B56" t="n">
        <v>34</v>
      </c>
      <c r="D56" t="n">
        <v>132</v>
      </c>
      <c r="F56" t="n">
        <v>166</v>
      </c>
    </row>
    <row r="57">
      <c r="A57" s="5" t="inlineStr">
        <is>
          <t>2028-08</t>
        </is>
      </c>
      <c r="B57" t="n">
        <v>34</v>
      </c>
      <c r="D57" t="n">
        <v>132</v>
      </c>
      <c r="F57" t="n">
        <v>166</v>
      </c>
    </row>
    <row r="58">
      <c r="A58" s="5" t="inlineStr">
        <is>
          <t>2028-09</t>
        </is>
      </c>
      <c r="B58" t="n">
        <v>34</v>
      </c>
      <c r="D58" t="n">
        <v>132</v>
      </c>
      <c r="F58" t="n">
        <v>166</v>
      </c>
    </row>
    <row r="59">
      <c r="A59" s="5" t="inlineStr">
        <is>
          <t>2028-10</t>
        </is>
      </c>
      <c r="B59" t="n">
        <v>34</v>
      </c>
      <c r="D59" t="n">
        <v>132</v>
      </c>
      <c r="F59" t="n">
        <v>166</v>
      </c>
    </row>
    <row r="60">
      <c r="A60" s="5" t="inlineStr">
        <is>
          <t>2028-11</t>
        </is>
      </c>
      <c r="B60" t="n">
        <v>34</v>
      </c>
      <c r="D60" t="n">
        <v>132</v>
      </c>
      <c r="F60" t="n">
        <v>166</v>
      </c>
    </row>
    <row r="61">
      <c r="A61" s="5" t="inlineStr">
        <is>
          <t>2028-12</t>
        </is>
      </c>
      <c r="B61" t="n">
        <v>34</v>
      </c>
      <c r="D61" t="n">
        <v>132</v>
      </c>
      <c r="F61" t="n">
        <v>166</v>
      </c>
    </row>
    <row r="62">
      <c r="A62" s="5" t="n"/>
    </row>
    <row r="63">
      <c r="A63" s="5" t="n"/>
    </row>
    <row r="64">
      <c r="A64" s="5" t="n"/>
    </row>
    <row r="65">
      <c r="A65" s="5" t="n"/>
    </row>
    <row r="66">
      <c r="A66" s="5" t="n"/>
    </row>
    <row r="67">
      <c r="A67" s="5" t="n"/>
    </row>
    <row r="68">
      <c r="A68" s="5" t="n"/>
    </row>
    <row r="69">
      <c r="A69" s="5" t="n"/>
    </row>
    <row r="70">
      <c r="A70" s="5" t="n"/>
    </row>
    <row r="71">
      <c r="A71" s="5" t="n"/>
    </row>
    <row r="72">
      <c r="A72" s="5" t="n"/>
    </row>
    <row r="73">
      <c r="A73" s="5" t="n"/>
    </row>
    <row r="74">
      <c r="A74" s="5" t="n"/>
    </row>
    <row r="75">
      <c r="A75" s="5" t="n"/>
    </row>
    <row r="76">
      <c r="A76" s="5" t="n"/>
    </row>
    <row r="77">
      <c r="A77" s="5" t="n"/>
    </row>
    <row r="78">
      <c r="A78" s="5" t="n"/>
    </row>
    <row r="79">
      <c r="A79" s="5" t="n"/>
    </row>
    <row r="80">
      <c r="A80" s="5" t="n"/>
    </row>
    <row r="81">
      <c r="A81" s="5" t="n"/>
    </row>
    <row r="82">
      <c r="A82" s="5" t="n"/>
    </row>
    <row r="83">
      <c r="A83" s="5" t="n"/>
    </row>
    <row r="84">
      <c r="A84" s="5" t="n"/>
    </row>
    <row r="85">
      <c r="A85" s="5" t="n"/>
    </row>
    <row r="86">
      <c r="A86" s="5" t="n"/>
    </row>
    <row r="87">
      <c r="A87" s="5" t="n"/>
    </row>
    <row r="88">
      <c r="A88" s="5" t="n"/>
    </row>
    <row r="89">
      <c r="A89" s="5" t="n"/>
    </row>
    <row r="90">
      <c r="A90" s="5" t="n"/>
    </row>
    <row r="91">
      <c r="A91" s="5" t="n"/>
    </row>
    <row r="92">
      <c r="A92" s="5" t="n"/>
    </row>
    <row r="93">
      <c r="A93" s="5" t="n"/>
    </row>
    <row r="94">
      <c r="A94" s="5" t="n"/>
    </row>
    <row r="95">
      <c r="A95" s="5" t="n"/>
    </row>
    <row r="96">
      <c r="A96" s="5" t="n"/>
    </row>
    <row r="97">
      <c r="A97" s="5" t="n"/>
    </row>
    <row r="98">
      <c r="A98" s="5" t="n"/>
    </row>
    <row r="99">
      <c r="A99" s="5" t="n"/>
    </row>
    <row r="100">
      <c r="A100" s="5" t="n"/>
    </row>
    <row r="101">
      <c r="A101" s="5" t="n"/>
    </row>
    <row r="102">
      <c r="A102" s="5" t="n"/>
    </row>
    <row r="103">
      <c r="A103" s="5" t="n"/>
    </row>
    <row r="104">
      <c r="A104" s="5" t="n"/>
    </row>
    <row r="105">
      <c r="A105" s="5" t="n"/>
    </row>
    <row r="106">
      <c r="A106" s="5" t="n"/>
    </row>
    <row r="107">
      <c r="A107" s="5" t="n"/>
    </row>
    <row r="108">
      <c r="A108" s="5" t="n"/>
    </row>
    <row r="109">
      <c r="A109" s="5" t="n"/>
    </row>
    <row r="110">
      <c r="A110" s="5" t="n"/>
    </row>
    <row r="111">
      <c r="A111" s="5" t="n"/>
    </row>
    <row r="112">
      <c r="A112" s="5" t="n"/>
    </row>
    <row r="113">
      <c r="A113" s="5" t="n"/>
    </row>
    <row r="114">
      <c r="A114" s="5" t="n"/>
    </row>
    <row r="115">
      <c r="A115" s="5" t="n"/>
    </row>
    <row r="116">
      <c r="A116" s="5" t="n"/>
    </row>
    <row r="117">
      <c r="A117" s="5" t="n"/>
    </row>
    <row r="118">
      <c r="A118" s="5" t="n"/>
    </row>
    <row r="119">
      <c r="A119" s="5" t="n"/>
    </row>
    <row r="120">
      <c r="A120" s="5" t="n"/>
    </row>
    <row r="121">
      <c r="A121" s="5" t="n"/>
    </row>
    <row r="122">
      <c r="A122" s="5" t="n"/>
    </row>
    <row r="123">
      <c r="A123" s="5" t="n"/>
    </row>
    <row r="124">
      <c r="A124" s="5" t="n"/>
    </row>
    <row r="125">
      <c r="A125" s="5" t="n"/>
    </row>
    <row r="126">
      <c r="A126" s="5" t="n"/>
    </row>
    <row r="127">
      <c r="A127" s="5" t="n"/>
    </row>
    <row r="128">
      <c r="A128" s="5" t="n"/>
    </row>
    <row r="129">
      <c r="A129" s="5" t="n"/>
    </row>
    <row r="130">
      <c r="A130" s="5" t="n"/>
    </row>
    <row r="131">
      <c r="A131" s="5" t="n"/>
    </row>
    <row r="132">
      <c r="A132" s="5" t="n"/>
    </row>
    <row r="133">
      <c r="A133" s="5" t="n"/>
    </row>
    <row r="134">
      <c r="A134" s="5" t="n"/>
    </row>
    <row r="135">
      <c r="A135" s="5" t="n"/>
    </row>
    <row r="136">
      <c r="A136" s="5" t="n"/>
    </row>
    <row r="137">
      <c r="A137" s="5" t="n"/>
    </row>
    <row r="138">
      <c r="A138" s="5" t="n"/>
    </row>
    <row r="139">
      <c r="A139" s="5" t="n"/>
    </row>
    <row r="140">
      <c r="A140" s="5" t="n"/>
    </row>
    <row r="141">
      <c r="A141" s="5" t="n"/>
    </row>
    <row r="142">
      <c r="A142" s="5" t="n"/>
    </row>
    <row r="143">
      <c r="A143" s="5" t="n"/>
    </row>
    <row r="144">
      <c r="A144" s="5" t="n"/>
    </row>
    <row r="145">
      <c r="A145" s="5" t="n"/>
    </row>
    <row r="146">
      <c r="A146" s="5" t="n"/>
    </row>
    <row r="147">
      <c r="A147" s="5" t="n"/>
    </row>
    <row r="148">
      <c r="A148" s="5" t="n"/>
    </row>
    <row r="149">
      <c r="A149" s="5" t="n"/>
    </row>
    <row r="150">
      <c r="A150" s="5" t="n"/>
    </row>
    <row r="151">
      <c r="A151" s="5" t="n"/>
    </row>
    <row r="152">
      <c r="A152" s="5" t="n"/>
    </row>
    <row r="153">
      <c r="A153" s="5" t="n"/>
    </row>
    <row r="154">
      <c r="A154" s="5" t="n"/>
    </row>
    <row r="155">
      <c r="A155" s="5" t="n"/>
    </row>
    <row r="156">
      <c r="A156" s="5" t="n"/>
    </row>
    <row r="157">
      <c r="A157" s="5" t="n"/>
    </row>
    <row r="158">
      <c r="A158" s="5" t="n"/>
    </row>
    <row r="159">
      <c r="A159" s="5" t="n"/>
    </row>
    <row r="160">
      <c r="A160" s="5" t="n"/>
    </row>
    <row r="161">
      <c r="A161" s="5" t="n"/>
    </row>
    <row r="162">
      <c r="A162" s="5" t="n"/>
    </row>
    <row r="163">
      <c r="A163" s="5" t="n"/>
    </row>
    <row r="164">
      <c r="A164" s="5" t="n"/>
    </row>
    <row r="165">
      <c r="A165" s="5" t="n"/>
    </row>
    <row r="166">
      <c r="A166" s="5" t="n"/>
    </row>
    <row r="167">
      <c r="A167" s="5" t="n"/>
    </row>
    <row r="168">
      <c r="A168" s="5" t="n"/>
    </row>
    <row r="169">
      <c r="A169" s="5" t="n"/>
    </row>
    <row r="170">
      <c r="A170" s="5" t="n"/>
    </row>
    <row r="171">
      <c r="A171" s="5" t="n"/>
    </row>
    <row r="172">
      <c r="A172" s="5" t="n"/>
    </row>
    <row r="173">
      <c r="A173" s="5" t="n"/>
    </row>
    <row r="174">
      <c r="A174" s="5" t="n"/>
    </row>
    <row r="175">
      <c r="A175" s="5" t="n"/>
    </row>
    <row r="176">
      <c r="A176" s="5" t="n"/>
    </row>
    <row r="177">
      <c r="A177" s="5" t="n"/>
    </row>
    <row r="178">
      <c r="A178" s="5" t="n"/>
    </row>
    <row r="179">
      <c r="A179" s="5" t="n"/>
    </row>
    <row r="180">
      <c r="A180" s="5" t="n"/>
    </row>
    <row r="181">
      <c r="A181" s="5" t="n"/>
    </row>
    <row r="182">
      <c r="A182" s="5" t="n"/>
    </row>
    <row r="183">
      <c r="A183" s="5" t="n"/>
    </row>
    <row r="184">
      <c r="A184" s="5" t="n"/>
    </row>
    <row r="185">
      <c r="A185" s="5" t="n"/>
    </row>
    <row r="186">
      <c r="A186" s="5" t="n"/>
    </row>
    <row r="187">
      <c r="A187" s="5" t="n"/>
    </row>
    <row r="188">
      <c r="A188" s="5" t="n"/>
    </row>
    <row r="189">
      <c r="A189" s="5" t="n"/>
    </row>
    <row r="190">
      <c r="A190" s="5" t="n"/>
    </row>
    <row r="191">
      <c r="A191" s="5" t="n"/>
    </row>
    <row r="192">
      <c r="A192" s="5" t="n"/>
    </row>
    <row r="193">
      <c r="A193" s="5" t="n"/>
    </row>
    <row r="194">
      <c r="A194" s="5" t="n"/>
    </row>
    <row r="195">
      <c r="A195" s="5" t="n"/>
    </row>
    <row r="196">
      <c r="A196" s="5" t="n"/>
    </row>
    <row r="197">
      <c r="A197" s="5" t="n"/>
    </row>
    <row r="198">
      <c r="A198" s="5" t="n"/>
    </row>
    <row r="199">
      <c r="A199" s="5" t="n"/>
    </row>
    <row r="200">
      <c r="A200" s="5" t="n"/>
    </row>
    <row r="201">
      <c r="A201" s="5" t="n"/>
    </row>
    <row r="202">
      <c r="A202" s="5" t="n"/>
    </row>
    <row r="203">
      <c r="A203" s="5" t="n"/>
    </row>
    <row r="204">
      <c r="A204" s="5" t="n"/>
    </row>
    <row r="205">
      <c r="A205" s="5" t="n"/>
    </row>
    <row r="206">
      <c r="A206" s="5" t="n"/>
    </row>
    <row r="207">
      <c r="A207" s="5" t="n"/>
    </row>
    <row r="208">
      <c r="A208" s="5" t="n"/>
    </row>
    <row r="209">
      <c r="A209" s="5" t="n"/>
    </row>
    <row r="210">
      <c r="A210" s="5" t="n"/>
    </row>
    <row r="211">
      <c r="A211" s="5" t="n"/>
    </row>
    <row r="212">
      <c r="A212" s="5" t="n"/>
    </row>
    <row r="213">
      <c r="A213" s="5" t="n"/>
    </row>
    <row r="214">
      <c r="A214" s="5" t="n"/>
    </row>
    <row r="215">
      <c r="A215" s="5" t="n"/>
    </row>
    <row r="216">
      <c r="A216" s="5" t="n"/>
    </row>
    <row r="217">
      <c r="A217" s="5" t="n"/>
    </row>
    <row r="218">
      <c r="A218" s="5" t="n"/>
    </row>
    <row r="219">
      <c r="A219" s="5" t="n"/>
    </row>
    <row r="220">
      <c r="A220" s="5" t="n"/>
    </row>
    <row r="221">
      <c r="A221" s="5" t="n"/>
    </row>
    <row r="222">
      <c r="A222" s="5" t="n"/>
    </row>
    <row r="223">
      <c r="A223" s="5" t="n"/>
    </row>
    <row r="224">
      <c r="A224" s="5" t="n"/>
    </row>
    <row r="225">
      <c r="A225" s="5" t="n"/>
    </row>
    <row r="226">
      <c r="A226" s="5" t="n"/>
    </row>
    <row r="227">
      <c r="A227" s="5" t="n"/>
    </row>
    <row r="228">
      <c r="A228" s="5" t="n"/>
    </row>
    <row r="229">
      <c r="A229" s="5" t="n"/>
    </row>
    <row r="230">
      <c r="A230" s="5" t="n"/>
    </row>
    <row r="231">
      <c r="A231" s="5" t="n"/>
    </row>
    <row r="232">
      <c r="A232" s="5" t="n"/>
    </row>
    <row r="233">
      <c r="A233" s="5" t="n"/>
    </row>
    <row r="234">
      <c r="A234" s="5" t="n"/>
    </row>
    <row r="235">
      <c r="A235" s="5" t="n"/>
    </row>
    <row r="236">
      <c r="A236" s="5" t="n"/>
    </row>
    <row r="237">
      <c r="A237" s="5" t="n"/>
    </row>
    <row r="238">
      <c r="A238" s="5" t="n"/>
    </row>
    <row r="239">
      <c r="A239" s="5" t="n"/>
    </row>
    <row r="240">
      <c r="A240" s="5" t="n"/>
    </row>
    <row r="241">
      <c r="A241" s="5" t="n"/>
    </row>
    <row r="242">
      <c r="A242" s="5" t="n"/>
    </row>
    <row r="243">
      <c r="A243" s="5" t="n"/>
    </row>
    <row r="244">
      <c r="A244" s="5" t="n"/>
    </row>
    <row r="245">
      <c r="A245" s="5" t="n"/>
    </row>
    <row r="246">
      <c r="A246" s="5" t="n"/>
    </row>
    <row r="247">
      <c r="A247" s="5" t="n"/>
    </row>
    <row r="248">
      <c r="A248" s="5" t="n"/>
    </row>
    <row r="249">
      <c r="A249" s="5" t="n"/>
    </row>
    <row r="250">
      <c r="A250" s="5" t="n"/>
    </row>
    <row r="251">
      <c r="A251" s="5" t="n"/>
    </row>
    <row r="252">
      <c r="A252" s="5" t="n"/>
    </row>
    <row r="253">
      <c r="A253" s="5" t="n"/>
    </row>
    <row r="254">
      <c r="A254" s="5" t="n"/>
    </row>
    <row r="255">
      <c r="A255" s="5" t="n"/>
    </row>
    <row r="256">
      <c r="A256" s="5" t="n"/>
    </row>
    <row r="257">
      <c r="A257" s="5" t="n"/>
    </row>
    <row r="258">
      <c r="A258" s="5" t="n"/>
    </row>
    <row r="259">
      <c r="A259" s="5" t="n"/>
    </row>
    <row r="260">
      <c r="A260" s="5" t="n"/>
    </row>
    <row r="261">
      <c r="A261" s="5" t="n"/>
    </row>
  </sheetData>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C4"/>
  <sheetViews>
    <sheetView tabSelected="0" workbookViewId="0">
      <pane ySplit="1" topLeftCell="A2" activePane="bottomLeft" state="frozen"/>
      <selection pane="bottomLeft" activeCell="A1" sqref="A1"/>
    </sheetView>
  </sheetViews>
  <sheetFormatPr baseColWidth="8" defaultRowHeight="15"/>
  <cols>
    <col width="11" customWidth="1" min="1" max="1"/>
    <col width="10" customWidth="1" min="2" max="2"/>
    <col width="10" customWidth="1" min="3" max="3"/>
  </cols>
  <sheetData>
    <row r="1">
      <c r="A1" t="inlineStr">
        <is>
          <t>group</t>
        </is>
      </c>
      <c r="B1" t="inlineStr">
        <is>
          <t>filled</t>
        </is>
      </c>
      <c r="C1" t="inlineStr">
        <is>
          <t>required</t>
        </is>
      </c>
    </row>
    <row r="2">
      <c r="A2" t="inlineStr">
        <is>
          <t>Onshore</t>
        </is>
      </c>
      <c r="B2" t="n">
        <v>32</v>
      </c>
      <c r="C2" t="n">
        <v>34</v>
      </c>
    </row>
    <row r="3">
      <c r="A3" t="inlineStr">
        <is>
          <t>Offshore</t>
        </is>
      </c>
      <c r="B3" t="n">
        <v>47</v>
      </c>
      <c r="C3" t="n">
        <v>50</v>
      </c>
    </row>
    <row r="4">
      <c r="A4" t="inlineStr">
        <is>
          <t>Outsource</t>
        </is>
      </c>
      <c r="B4" t="n">
        <v>9</v>
      </c>
      <c r="C4" t="n">
        <v>38</v>
      </c>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I8"/>
  <sheetViews>
    <sheetView tabSelected="0"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2" customWidth="1" min="4" max="4"/>
    <col width="10" customWidth="1" min="5" max="5"/>
    <col width="11" customWidth="1" min="6" max="6"/>
    <col width="12" customWidth="1" min="7" max="7"/>
    <col width="13" customWidth="1" min="8" max="8"/>
    <col width="10" customWidth="1" min="9" max="9"/>
  </cols>
  <sheetData>
    <row r="1">
      <c r="A1" t="inlineStr">
        <is>
          <t>platform</t>
        </is>
      </c>
      <c r="B1" t="inlineStr">
        <is>
          <t>team</t>
        </is>
      </c>
      <c r="C1" t="inlineStr">
        <is>
          <t>modules</t>
        </is>
      </c>
      <c r="D1" t="inlineStr">
        <is>
          <t>developing</t>
        </is>
      </c>
      <c r="E1" t="inlineStr">
        <is>
          <t>review</t>
        </is>
      </c>
      <c r="F1" t="inlineStr">
        <is>
          <t>completed</t>
        </is>
      </c>
      <c r="G1" t="inlineStr">
        <is>
          <t>theory_pct</t>
        </is>
      </c>
      <c r="H1" t="inlineStr">
        <is>
          <t>ojt_modules</t>
        </is>
      </c>
      <c r="I1" t="inlineStr">
        <is>
          <t>ojt_pct</t>
        </is>
      </c>
    </row>
    <row r="2">
      <c r="A2" t="inlineStr">
        <is>
          <t>CPP</t>
        </is>
      </c>
      <c r="B2" t="inlineStr">
        <is>
          <t>P&amp;P</t>
        </is>
      </c>
      <c r="C2" t="n">
        <v>36</v>
      </c>
      <c r="D2" t="n">
        <v>6</v>
      </c>
      <c r="E2" t="n">
        <v>1</v>
      </c>
      <c r="F2" t="n">
        <v>27</v>
      </c>
      <c r="G2" t="n">
        <v>3.87</v>
      </c>
      <c r="H2" t="n">
        <v>36</v>
      </c>
      <c r="I2" t="n">
        <v>0</v>
      </c>
    </row>
    <row r="3">
      <c r="A3" t="inlineStr">
        <is>
          <t>CPP</t>
        </is>
      </c>
      <c r="B3" t="inlineStr">
        <is>
          <t>E&amp;I</t>
        </is>
      </c>
      <c r="C3" t="n">
        <v>39</v>
      </c>
      <c r="D3" t="n">
        <v>1</v>
      </c>
      <c r="F3" t="n">
        <v>35</v>
      </c>
      <c r="G3" t="n">
        <v>7.85</v>
      </c>
      <c r="H3" t="n">
        <v>39</v>
      </c>
      <c r="I3" t="n">
        <v>0</v>
      </c>
    </row>
    <row r="4">
      <c r="A4" t="inlineStr">
        <is>
          <t>CPP</t>
        </is>
      </c>
      <c r="B4" t="inlineStr">
        <is>
          <t>M&amp;R</t>
        </is>
      </c>
      <c r="C4" t="n">
        <v>38</v>
      </c>
      <c r="D4" t="n">
        <v>6</v>
      </c>
      <c r="E4" t="n">
        <v>1</v>
      </c>
      <c r="F4" t="n">
        <v>27</v>
      </c>
      <c r="G4" t="n">
        <v>1.48</v>
      </c>
      <c r="H4" t="n">
        <v>38</v>
      </c>
      <c r="I4" t="n">
        <v>0</v>
      </c>
    </row>
    <row r="5">
      <c r="A5" t="inlineStr">
        <is>
          <t>CPP</t>
        </is>
      </c>
      <c r="B5" t="inlineStr">
        <is>
          <t>Deck crew</t>
        </is>
      </c>
      <c r="C5" t="n">
        <v>11</v>
      </c>
      <c r="D5" t="n">
        <v>0</v>
      </c>
      <c r="E5" t="n">
        <v>0</v>
      </c>
      <c r="F5" t="n">
        <v>11</v>
      </c>
      <c r="G5" t="n">
        <v>6.25</v>
      </c>
      <c r="H5" t="n">
        <v>11</v>
      </c>
      <c r="I5" t="n">
        <v>0</v>
      </c>
    </row>
    <row r="6">
      <c r="A6" t="inlineStr">
        <is>
          <t>WHP</t>
        </is>
      </c>
      <c r="B6" t="inlineStr">
        <is>
          <t>P&amp;P</t>
        </is>
      </c>
      <c r="C6" t="n">
        <v>21</v>
      </c>
      <c r="D6" t="n">
        <v>0</v>
      </c>
      <c r="E6" t="n">
        <v>0</v>
      </c>
      <c r="F6" t="n">
        <v>21</v>
      </c>
      <c r="G6" t="n">
        <v>0</v>
      </c>
      <c r="H6" t="n">
        <v>29</v>
      </c>
      <c r="I6" t="n">
        <v>0</v>
      </c>
    </row>
    <row r="7">
      <c r="A7" t="inlineStr">
        <is>
          <t>WHP</t>
        </is>
      </c>
      <c r="B7" t="inlineStr">
        <is>
          <t>E&amp;I</t>
        </is>
      </c>
      <c r="C7" t="n">
        <v>24</v>
      </c>
      <c r="D7" t="n">
        <v>2</v>
      </c>
      <c r="E7" t="n">
        <v>2</v>
      </c>
      <c r="F7" t="n">
        <v>20</v>
      </c>
      <c r="G7" t="n">
        <v>0</v>
      </c>
      <c r="H7" t="n">
        <v>35</v>
      </c>
      <c r="I7" t="n">
        <v>0</v>
      </c>
    </row>
    <row r="8">
      <c r="A8" t="inlineStr">
        <is>
          <t>WHP</t>
        </is>
      </c>
      <c r="B8" t="inlineStr">
        <is>
          <t>M&amp;R</t>
        </is>
      </c>
      <c r="C8" t="n">
        <v>22</v>
      </c>
      <c r="D8" t="n">
        <v>0</v>
      </c>
      <c r="E8" t="n">
        <v>1</v>
      </c>
      <c r="F8" t="n">
        <v>21</v>
      </c>
      <c r="G8" t="n">
        <v>0</v>
      </c>
      <c r="H8" t="n">
        <v>31</v>
      </c>
      <c r="I8" t="n">
        <v>0</v>
      </c>
    </row>
  </sheetData>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D7"/>
  <sheetViews>
    <sheetView tabSelected="0" workbookViewId="0">
      <pane ySplit="1" topLeftCell="A2" activePane="bottomLeft" state="frozen"/>
      <selection pane="bottomLeft" activeCell="A1" sqref="A1"/>
    </sheetView>
  </sheetViews>
  <sheetFormatPr baseColWidth="8" defaultRowHeight="15"/>
  <cols>
    <col width="15" customWidth="1" min="1" max="1"/>
    <col width="10" customWidth="1" min="2" max="2"/>
    <col width="10" customWidth="1" min="3" max="3"/>
    <col width="10" customWidth="1" min="4" max="4"/>
  </cols>
  <sheetData>
    <row r="1">
      <c r="A1" t="inlineStr">
        <is>
          <t>team</t>
        </is>
      </c>
      <c r="B1" t="inlineStr">
        <is>
          <t>planned</t>
        </is>
      </c>
      <c r="C1" t="inlineStr">
        <is>
          <t>earned</t>
        </is>
      </c>
      <c r="D1" t="inlineStr">
        <is>
          <t>balance</t>
        </is>
      </c>
    </row>
    <row r="2">
      <c r="A2" t="inlineStr">
        <is>
          <t>Management</t>
        </is>
      </c>
      <c r="B2" t="n">
        <v>263</v>
      </c>
      <c r="C2" t="n">
        <v>72</v>
      </c>
      <c r="D2" t="n">
        <v>191</v>
      </c>
    </row>
    <row r="3">
      <c r="A3" t="inlineStr">
        <is>
          <t>CPP P&amp;P</t>
        </is>
      </c>
      <c r="B3" t="n">
        <v>334</v>
      </c>
      <c r="C3" t="n">
        <v>195</v>
      </c>
      <c r="D3" t="n">
        <v>139</v>
      </c>
    </row>
    <row r="4">
      <c r="A4" t="inlineStr">
        <is>
          <t>CPP M&amp;R</t>
        </is>
      </c>
      <c r="B4" t="n">
        <v>210</v>
      </c>
      <c r="C4" t="n">
        <v>92</v>
      </c>
      <c r="D4" t="n">
        <v>118</v>
      </c>
    </row>
    <row r="5">
      <c r="A5" t="inlineStr">
        <is>
          <t>CPP E&amp;I</t>
        </is>
      </c>
      <c r="B5" t="n">
        <v>270</v>
      </c>
      <c r="C5" t="n">
        <v>96</v>
      </c>
      <c r="D5" t="n">
        <v>174</v>
      </c>
    </row>
    <row r="6">
      <c r="A6" t="inlineStr">
        <is>
          <t>CPP Deck crew</t>
        </is>
      </c>
      <c r="B6" t="n">
        <v>72</v>
      </c>
      <c r="C6" t="n">
        <v>19</v>
      </c>
      <c r="D6" t="n">
        <v>53</v>
      </c>
    </row>
    <row r="7">
      <c r="A7" t="inlineStr">
        <is>
          <t>WHP team</t>
        </is>
      </c>
      <c r="B7" t="n">
        <v>250</v>
      </c>
      <c r="C7" t="n">
        <v>130</v>
      </c>
      <c r="D7" t="n">
        <v>120</v>
      </c>
    </row>
  </sheetData>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B220"/>
  <sheetViews>
    <sheetView tabSelected="0" workbookViewId="0">
      <pane ySplit="1" topLeftCell="A2" activePane="bottomLeft" state="frozen"/>
      <selection pane="bottomLeft" activeCell="A1" sqref="A1"/>
    </sheetView>
  </sheetViews>
  <sheetFormatPr baseColWidth="8" defaultRowHeight="15"/>
  <cols>
    <col width="60" customWidth="1" min="1" max="1"/>
    <col width="10" customWidth="1" min="2" max="2"/>
  </cols>
  <sheetData>
    <row r="1">
      <c r="A1" t="inlineStr">
        <is>
          <t>course</t>
        </is>
      </c>
      <c r="B1" t="inlineStr">
        <is>
          <t>period</t>
        </is>
      </c>
    </row>
    <row r="2">
      <c r="A2" t="inlineStr">
        <is>
          <t>ICSS – EPCI#2</t>
        </is>
      </c>
      <c r="B2" s="5" t="inlineStr">
        <is>
          <t>2026-09</t>
        </is>
      </c>
    </row>
    <row r="3">
      <c r="A3" t="inlineStr">
        <is>
          <t>Asset Integrity Management</t>
        </is>
      </c>
      <c r="B3" s="5" t="inlineStr">
        <is>
          <t>2026-10</t>
        </is>
      </c>
    </row>
    <row r="4">
      <c r="A4" t="inlineStr">
        <is>
          <t>E-house</t>
        </is>
      </c>
      <c r="B4" s="5" t="inlineStr">
        <is>
          <t>2026-10</t>
        </is>
      </c>
    </row>
    <row r="5">
      <c r="A5" t="inlineStr">
        <is>
          <t>Gas Conditioning and Processing – G-4</t>
        </is>
      </c>
      <c r="B5" s="5" t="inlineStr">
        <is>
          <t>2026-10</t>
        </is>
      </c>
    </row>
    <row r="6">
      <c r="A6" t="inlineStr">
        <is>
          <t>ICSS – EPCI#1</t>
        </is>
      </c>
      <c r="B6" s="5" t="inlineStr">
        <is>
          <t>2026-11</t>
        </is>
      </c>
    </row>
    <row r="7">
      <c r="A7" t="inlineStr">
        <is>
          <t>Gas Purification Technology: Mercury Removal</t>
        </is>
      </c>
      <c r="B7" s="5" t="inlineStr">
        <is>
          <t>2026-11</t>
        </is>
      </c>
    </row>
    <row r="8">
      <c r="A8" t="inlineStr">
        <is>
          <t>ICSS – EPCI#1</t>
        </is>
      </c>
      <c r="B8" s="5" t="inlineStr">
        <is>
          <t>2026-12</t>
        </is>
      </c>
    </row>
    <row r="9">
      <c r="A9" t="inlineStr">
        <is>
          <t>E-house</t>
        </is>
      </c>
      <c r="B9" s="5" t="inlineStr">
        <is>
          <t>2026-12</t>
        </is>
      </c>
    </row>
    <row r="10">
      <c r="A10" t="inlineStr">
        <is>
          <t>Telecom System (CPC0-TEL001)</t>
        </is>
      </c>
      <c r="B10" s="5" t="inlineStr">
        <is>
          <t>2027-01</t>
        </is>
      </c>
    </row>
    <row r="11">
      <c r="A11" t="inlineStr">
        <is>
          <t>HVAC system (MEL 41 – HVAC)</t>
        </is>
      </c>
      <c r="B11" s="5" t="inlineStr">
        <is>
          <t>2027-03</t>
        </is>
      </c>
    </row>
    <row r="12">
      <c r="A12" t="inlineStr">
        <is>
          <t>Mark CS O&amp;M</t>
        </is>
      </c>
      <c r="B12" s="5" t="inlineStr">
        <is>
          <t>2027-04</t>
        </is>
      </c>
    </row>
    <row r="13">
      <c r="A13" t="inlineStr">
        <is>
          <t>Analyser – Water in Oil &amp; Gas Chromatography (CPC0-ICS017)</t>
        </is>
      </c>
      <c r="B13" s="5" t="inlineStr">
        <is>
          <t>2027-04</t>
        </is>
      </c>
    </row>
    <row r="14">
      <c r="A14" t="inlineStr">
        <is>
          <t>Metering Skid (CPPT-ICS001)</t>
        </is>
      </c>
      <c r="B14" s="5" t="inlineStr">
        <is>
          <t>2027-05</t>
        </is>
      </c>
    </row>
    <row r="15">
      <c r="A15" t="inlineStr">
        <is>
          <t>Analyser – Moisture &amp; Reid Vapor (CPC0-ICS031)</t>
        </is>
      </c>
      <c r="B15" s="5" t="inlineStr">
        <is>
          <t>2027-05</t>
        </is>
      </c>
    </row>
    <row r="16">
      <c r="A16" t="inlineStr">
        <is>
          <t>ECPI#2 – Gas booster compressor</t>
        </is>
      </c>
      <c r="B16" s="5" t="inlineStr">
        <is>
          <t>2027-11</t>
        </is>
      </c>
    </row>
    <row r="17">
      <c r="A17" t="inlineStr">
        <is>
          <t>EDG (CLQU-MEC005)</t>
        </is>
      </c>
      <c r="B17" s="5" t="inlineStr">
        <is>
          <t>2027-12</t>
        </is>
      </c>
    </row>
    <row r="18">
      <c r="A18" t="inlineStr">
        <is>
          <t>Gas Turbine Generator (GTG, MER 02)</t>
        </is>
      </c>
      <c r="B18" s="5" t="inlineStr">
        <is>
          <t>2028</t>
        </is>
      </c>
    </row>
    <row r="19">
      <c r="A19" t="inlineStr">
        <is>
          <t>Turbo Expander (CPPT-MEC003)</t>
        </is>
      </c>
      <c r="B19" s="5" t="inlineStr">
        <is>
          <t>2028</t>
        </is>
      </c>
    </row>
    <row r="20">
      <c r="A20" t="inlineStr">
        <is>
          <t>Vapour Recovery Compressor (CPPT-MEC005)</t>
        </is>
      </c>
      <c r="B20" s="5" t="inlineStr">
        <is>
          <t>2028</t>
        </is>
      </c>
    </row>
    <row r="21">
      <c r="B21" s="5" t="n"/>
    </row>
    <row r="22">
      <c r="B22" s="5" t="n"/>
    </row>
    <row r="23">
      <c r="B23" s="5" t="n"/>
    </row>
    <row r="24">
      <c r="B24" s="5" t="n"/>
    </row>
    <row r="25">
      <c r="B25" s="5" t="n"/>
    </row>
    <row r="26">
      <c r="B26" s="5" t="n"/>
    </row>
    <row r="27">
      <c r="B27" s="5" t="n"/>
    </row>
    <row r="28">
      <c r="B28" s="5" t="n"/>
    </row>
    <row r="29">
      <c r="B29" s="5" t="n"/>
    </row>
    <row r="30">
      <c r="B30" s="5" t="n"/>
    </row>
    <row r="31">
      <c r="B31" s="5" t="n"/>
    </row>
    <row r="32">
      <c r="B32" s="5" t="n"/>
    </row>
    <row r="33">
      <c r="B33" s="5" t="n"/>
    </row>
    <row r="34">
      <c r="B34" s="5" t="n"/>
    </row>
    <row r="35">
      <c r="B35" s="5" t="n"/>
    </row>
    <row r="36">
      <c r="B36" s="5" t="n"/>
    </row>
    <row r="37">
      <c r="B37" s="5" t="n"/>
    </row>
    <row r="38">
      <c r="B38" s="5" t="n"/>
    </row>
    <row r="39">
      <c r="B39" s="5" t="n"/>
    </row>
    <row r="40">
      <c r="B40" s="5" t="n"/>
    </row>
    <row r="41">
      <c r="B41" s="5" t="n"/>
    </row>
    <row r="42">
      <c r="B42" s="5" t="n"/>
    </row>
    <row r="43">
      <c r="B43" s="5" t="n"/>
    </row>
    <row r="44">
      <c r="B44" s="5" t="n"/>
    </row>
    <row r="45">
      <c r="B45" s="5" t="n"/>
    </row>
    <row r="46">
      <c r="B46" s="5" t="n"/>
    </row>
    <row r="47">
      <c r="B47" s="5" t="n"/>
    </row>
    <row r="48">
      <c r="B48" s="5" t="n"/>
    </row>
    <row r="49">
      <c r="B49" s="5" t="n"/>
    </row>
    <row r="50">
      <c r="B50" s="5" t="n"/>
    </row>
    <row r="51">
      <c r="B51" s="5" t="n"/>
    </row>
    <row r="52">
      <c r="B52" s="5" t="n"/>
    </row>
    <row r="53">
      <c r="B53" s="5" t="n"/>
    </row>
    <row r="54">
      <c r="B54" s="5" t="n"/>
    </row>
    <row r="55">
      <c r="B55" s="5" t="n"/>
    </row>
    <row r="56">
      <c r="B56" s="5" t="n"/>
    </row>
    <row r="57">
      <c r="B57" s="5" t="n"/>
    </row>
    <row r="58">
      <c r="B58" s="5" t="n"/>
    </row>
    <row r="59">
      <c r="B59" s="5" t="n"/>
    </row>
    <row r="60">
      <c r="B60" s="5" t="n"/>
    </row>
    <row r="61">
      <c r="B61" s="5" t="n"/>
    </row>
    <row r="62">
      <c r="B62" s="5" t="n"/>
    </row>
    <row r="63">
      <c r="B63" s="5" t="n"/>
    </row>
    <row r="64">
      <c r="B64" s="5" t="n"/>
    </row>
    <row r="65">
      <c r="B65" s="5" t="n"/>
    </row>
    <row r="66">
      <c r="B66" s="5" t="n"/>
    </row>
    <row r="67">
      <c r="B67" s="5" t="n"/>
    </row>
    <row r="68">
      <c r="B68" s="5" t="n"/>
    </row>
    <row r="69">
      <c r="B69" s="5" t="n"/>
    </row>
    <row r="70">
      <c r="B70" s="5" t="n"/>
    </row>
    <row r="71">
      <c r="B71" s="5" t="n"/>
    </row>
    <row r="72">
      <c r="B72" s="5" t="n"/>
    </row>
    <row r="73">
      <c r="B73" s="5" t="n"/>
    </row>
    <row r="74">
      <c r="B74" s="5" t="n"/>
    </row>
    <row r="75">
      <c r="B75" s="5" t="n"/>
    </row>
    <row r="76">
      <c r="B76" s="5" t="n"/>
    </row>
    <row r="77">
      <c r="B77" s="5" t="n"/>
    </row>
    <row r="78">
      <c r="B78" s="5" t="n"/>
    </row>
    <row r="79">
      <c r="B79" s="5" t="n"/>
    </row>
    <row r="80">
      <c r="B80" s="5" t="n"/>
    </row>
    <row r="81">
      <c r="B81" s="5" t="n"/>
    </row>
    <row r="82">
      <c r="B82" s="5" t="n"/>
    </row>
    <row r="83">
      <c r="B83" s="5" t="n"/>
    </row>
    <row r="84">
      <c r="B84" s="5" t="n"/>
    </row>
    <row r="85">
      <c r="B85" s="5" t="n"/>
    </row>
    <row r="86">
      <c r="B86" s="5" t="n"/>
    </row>
    <row r="87">
      <c r="B87" s="5" t="n"/>
    </row>
    <row r="88">
      <c r="B88" s="5" t="n"/>
    </row>
    <row r="89">
      <c r="B89" s="5" t="n"/>
    </row>
    <row r="90">
      <c r="B90" s="5" t="n"/>
    </row>
    <row r="91">
      <c r="B91" s="5" t="n"/>
    </row>
    <row r="92">
      <c r="B92" s="5" t="n"/>
    </row>
    <row r="93">
      <c r="B93" s="5" t="n"/>
    </row>
    <row r="94">
      <c r="B94" s="5" t="n"/>
    </row>
    <row r="95">
      <c r="B95" s="5" t="n"/>
    </row>
    <row r="96">
      <c r="B96" s="5" t="n"/>
    </row>
    <row r="97">
      <c r="B97" s="5" t="n"/>
    </row>
    <row r="98">
      <c r="B98" s="5" t="n"/>
    </row>
    <row r="99">
      <c r="B99" s="5" t="n"/>
    </row>
    <row r="100">
      <c r="B100" s="5" t="n"/>
    </row>
    <row r="101">
      <c r="B101" s="5" t="n"/>
    </row>
    <row r="102">
      <c r="B102" s="5" t="n"/>
    </row>
    <row r="103">
      <c r="B103" s="5" t="n"/>
    </row>
    <row r="104">
      <c r="B104" s="5" t="n"/>
    </row>
    <row r="105">
      <c r="B105" s="5" t="n"/>
    </row>
    <row r="106">
      <c r="B106" s="5" t="n"/>
    </row>
    <row r="107">
      <c r="B107" s="5" t="n"/>
    </row>
    <row r="108">
      <c r="B108" s="5" t="n"/>
    </row>
    <row r="109">
      <c r="B109" s="5" t="n"/>
    </row>
    <row r="110">
      <c r="B110" s="5" t="n"/>
    </row>
    <row r="111">
      <c r="B111" s="5" t="n"/>
    </row>
    <row r="112">
      <c r="B112" s="5" t="n"/>
    </row>
    <row r="113">
      <c r="B113" s="5" t="n"/>
    </row>
    <row r="114">
      <c r="B114" s="5" t="n"/>
    </row>
    <row r="115">
      <c r="B115" s="5" t="n"/>
    </row>
    <row r="116">
      <c r="B116" s="5" t="n"/>
    </row>
    <row r="117">
      <c r="B117" s="5" t="n"/>
    </row>
    <row r="118">
      <c r="B118" s="5" t="n"/>
    </row>
    <row r="119">
      <c r="B119" s="5" t="n"/>
    </row>
    <row r="120">
      <c r="B120" s="5" t="n"/>
    </row>
    <row r="121">
      <c r="B121" s="5" t="n"/>
    </row>
    <row r="122">
      <c r="B122" s="5" t="n"/>
    </row>
    <row r="123">
      <c r="B123" s="5" t="n"/>
    </row>
    <row r="124">
      <c r="B124" s="5" t="n"/>
    </row>
    <row r="125">
      <c r="B125" s="5" t="n"/>
    </row>
    <row r="126">
      <c r="B126" s="5" t="n"/>
    </row>
    <row r="127">
      <c r="B127" s="5" t="n"/>
    </row>
    <row r="128">
      <c r="B128" s="5" t="n"/>
    </row>
    <row r="129">
      <c r="B129" s="5" t="n"/>
    </row>
    <row r="130">
      <c r="B130" s="5" t="n"/>
    </row>
    <row r="131">
      <c r="B131" s="5" t="n"/>
    </row>
    <row r="132">
      <c r="B132" s="5" t="n"/>
    </row>
    <row r="133">
      <c r="B133" s="5" t="n"/>
    </row>
    <row r="134">
      <c r="B134" s="5" t="n"/>
    </row>
    <row r="135">
      <c r="B135" s="5" t="n"/>
    </row>
    <row r="136">
      <c r="B136" s="5" t="n"/>
    </row>
    <row r="137">
      <c r="B137" s="5" t="n"/>
    </row>
    <row r="138">
      <c r="B138" s="5" t="n"/>
    </row>
    <row r="139">
      <c r="B139" s="5" t="n"/>
    </row>
    <row r="140">
      <c r="B140" s="5" t="n"/>
    </row>
    <row r="141">
      <c r="B141" s="5" t="n"/>
    </row>
    <row r="142">
      <c r="B142" s="5" t="n"/>
    </row>
    <row r="143">
      <c r="B143" s="5" t="n"/>
    </row>
    <row r="144">
      <c r="B144" s="5" t="n"/>
    </row>
    <row r="145">
      <c r="B145" s="5" t="n"/>
    </row>
    <row r="146">
      <c r="B146" s="5" t="n"/>
    </row>
    <row r="147">
      <c r="B147" s="5" t="n"/>
    </row>
    <row r="148">
      <c r="B148" s="5" t="n"/>
    </row>
    <row r="149">
      <c r="B149" s="5" t="n"/>
    </row>
    <row r="150">
      <c r="B150" s="5" t="n"/>
    </row>
    <row r="151">
      <c r="B151" s="5" t="n"/>
    </row>
    <row r="152">
      <c r="B152" s="5" t="n"/>
    </row>
    <row r="153">
      <c r="B153" s="5" t="n"/>
    </row>
    <row r="154">
      <c r="B154" s="5" t="n"/>
    </row>
    <row r="155">
      <c r="B155" s="5" t="n"/>
    </row>
    <row r="156">
      <c r="B156" s="5" t="n"/>
    </row>
    <row r="157">
      <c r="B157" s="5" t="n"/>
    </row>
    <row r="158">
      <c r="B158" s="5" t="n"/>
    </row>
    <row r="159">
      <c r="B159" s="5" t="n"/>
    </row>
    <row r="160">
      <c r="B160" s="5" t="n"/>
    </row>
    <row r="161">
      <c r="B161" s="5" t="n"/>
    </row>
    <row r="162">
      <c r="B162" s="5" t="n"/>
    </row>
    <row r="163">
      <c r="B163" s="5" t="n"/>
    </row>
    <row r="164">
      <c r="B164" s="5" t="n"/>
    </row>
    <row r="165">
      <c r="B165" s="5" t="n"/>
    </row>
    <row r="166">
      <c r="B166" s="5" t="n"/>
    </row>
    <row r="167">
      <c r="B167" s="5" t="n"/>
    </row>
    <row r="168">
      <c r="B168" s="5" t="n"/>
    </row>
    <row r="169">
      <c r="B169" s="5" t="n"/>
    </row>
    <row r="170">
      <c r="B170" s="5" t="n"/>
    </row>
    <row r="171">
      <c r="B171" s="5" t="n"/>
    </row>
    <row r="172">
      <c r="B172" s="5" t="n"/>
    </row>
    <row r="173">
      <c r="B173" s="5" t="n"/>
    </row>
    <row r="174">
      <c r="B174" s="5" t="n"/>
    </row>
    <row r="175">
      <c r="B175" s="5" t="n"/>
    </row>
    <row r="176">
      <c r="B176" s="5" t="n"/>
    </row>
    <row r="177">
      <c r="B177" s="5" t="n"/>
    </row>
    <row r="178">
      <c r="B178" s="5" t="n"/>
    </row>
    <row r="179">
      <c r="B179" s="5" t="n"/>
    </row>
    <row r="180">
      <c r="B180" s="5" t="n"/>
    </row>
    <row r="181">
      <c r="B181" s="5" t="n"/>
    </row>
    <row r="182">
      <c r="B182" s="5" t="n"/>
    </row>
    <row r="183">
      <c r="B183" s="5" t="n"/>
    </row>
    <row r="184">
      <c r="B184" s="5" t="n"/>
    </row>
    <row r="185">
      <c r="B185" s="5" t="n"/>
    </row>
    <row r="186">
      <c r="B186" s="5" t="n"/>
    </row>
    <row r="187">
      <c r="B187" s="5" t="n"/>
    </row>
    <row r="188">
      <c r="B188" s="5" t="n"/>
    </row>
    <row r="189">
      <c r="B189" s="5" t="n"/>
    </row>
    <row r="190">
      <c r="B190" s="5" t="n"/>
    </row>
    <row r="191">
      <c r="B191" s="5" t="n"/>
    </row>
    <row r="192">
      <c r="B192" s="5" t="n"/>
    </row>
    <row r="193">
      <c r="B193" s="5" t="n"/>
    </row>
    <row r="194">
      <c r="B194" s="5" t="n"/>
    </row>
    <row r="195">
      <c r="B195" s="5" t="n"/>
    </row>
    <row r="196">
      <c r="B196" s="5" t="n"/>
    </row>
    <row r="197">
      <c r="B197" s="5" t="n"/>
    </row>
    <row r="198">
      <c r="B198" s="5" t="n"/>
    </row>
    <row r="199">
      <c r="B199" s="5" t="n"/>
    </row>
    <row r="200">
      <c r="B200" s="5" t="n"/>
    </row>
    <row r="201">
      <c r="B201" s="5" t="n"/>
    </row>
    <row r="202">
      <c r="B202" s="5" t="n"/>
    </row>
    <row r="203">
      <c r="B203" s="5" t="n"/>
    </row>
    <row r="204">
      <c r="B204" s="5" t="n"/>
    </row>
    <row r="205">
      <c r="B205" s="5" t="n"/>
    </row>
    <row r="206">
      <c r="B206" s="5" t="n"/>
    </row>
    <row r="207">
      <c r="B207" s="5" t="n"/>
    </row>
    <row r="208">
      <c r="B208" s="5" t="n"/>
    </row>
    <row r="209">
      <c r="B209" s="5" t="n"/>
    </row>
    <row r="210">
      <c r="B210" s="5" t="n"/>
    </row>
    <row r="211">
      <c r="B211" s="5" t="n"/>
    </row>
    <row r="212">
      <c r="B212" s="5" t="n"/>
    </row>
    <row r="213">
      <c r="B213" s="5" t="n"/>
    </row>
    <row r="214">
      <c r="B214" s="5" t="n"/>
    </row>
    <row r="215">
      <c r="B215" s="5" t="n"/>
    </row>
    <row r="216">
      <c r="B216" s="5" t="n"/>
    </row>
    <row r="217">
      <c r="B217" s="5" t="n"/>
    </row>
    <row r="218">
      <c r="B218" s="5" t="n"/>
    </row>
    <row r="219">
      <c r="B219" s="5" t="n"/>
    </row>
    <row r="220">
      <c r="B220" s="5" t="n"/>
    </row>
  </sheetData>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G10"/>
  <sheetViews>
    <sheetView tabSelected="0" workbookViewId="0">
      <pane ySplit="1" topLeftCell="A2" activePane="bottomLeft" state="frozen"/>
      <selection pane="bottomLeft" activeCell="A1" sqref="A1"/>
    </sheetView>
  </sheetViews>
  <sheetFormatPr baseColWidth="8" defaultRowHeight="15"/>
  <cols>
    <col width="17" customWidth="1" min="1" max="1"/>
    <col width="12" customWidth="1" min="2" max="2"/>
    <col width="18" customWidth="1" min="3" max="3"/>
    <col width="11" customWidth="1" min="4" max="4"/>
    <col width="10" customWidth="1" min="5" max="5"/>
    <col width="12" customWidth="1" min="6" max="6"/>
    <col width="14" customWidth="1" min="7" max="7"/>
  </cols>
  <sheetData>
    <row r="1">
      <c r="A1" t="inlineStr">
        <is>
          <t>team</t>
        </is>
      </c>
      <c r="B1" t="inlineStr">
        <is>
          <t>weight_pct</t>
        </is>
      </c>
      <c r="C1" t="inlineStr">
        <is>
          <t>total_activities</t>
        </is>
      </c>
      <c r="D1" t="inlineStr">
        <is>
          <t>completed</t>
        </is>
      </c>
      <c r="E1" t="inlineStr">
        <is>
          <t>plan_pct</t>
        </is>
      </c>
      <c r="F1" t="inlineStr">
        <is>
          <t>actual_pct</t>
        </is>
      </c>
      <c r="G1" t="inlineStr">
        <is>
          <t>plan_end_pct</t>
        </is>
      </c>
    </row>
    <row r="2">
      <c r="A2" t="inlineStr">
        <is>
          <t>Offshore</t>
        </is>
      </c>
      <c r="B2" t="n">
        <v>25.5</v>
      </c>
      <c r="C2" t="n">
        <v>89</v>
      </c>
      <c r="D2" t="n">
        <v>57</v>
      </c>
      <c r="E2" t="n">
        <v>69.5</v>
      </c>
      <c r="F2" t="n">
        <v>76.8</v>
      </c>
      <c r="G2" t="n">
        <v>99</v>
      </c>
    </row>
    <row r="3">
      <c r="A3" t="inlineStr">
        <is>
          <t>Production OPS</t>
        </is>
      </c>
      <c r="B3" t="n">
        <v>13.2</v>
      </c>
      <c r="C3" t="n">
        <v>59</v>
      </c>
      <c r="D3" t="n">
        <v>23</v>
      </c>
      <c r="E3" t="n">
        <v>71.3</v>
      </c>
      <c r="F3" t="n">
        <v>66.5</v>
      </c>
      <c r="G3" t="n">
        <v>98</v>
      </c>
    </row>
    <row r="4">
      <c r="A4" t="inlineStr">
        <is>
          <t>Asset Integrity</t>
        </is>
      </c>
      <c r="B4" t="n">
        <v>11.2</v>
      </c>
      <c r="C4" t="n">
        <v>53</v>
      </c>
      <c r="D4" t="n">
        <v>20</v>
      </c>
      <c r="E4" t="n">
        <v>45.6</v>
      </c>
      <c r="F4" t="n">
        <v>64.40000000000001</v>
      </c>
      <c r="G4" t="n">
        <v>89</v>
      </c>
    </row>
    <row r="5">
      <c r="A5" t="inlineStr">
        <is>
          <t>Manager OPS</t>
        </is>
      </c>
      <c r="B5" t="n">
        <v>12.5</v>
      </c>
      <c r="C5" t="n">
        <v>80</v>
      </c>
      <c r="D5" t="n">
        <v>57</v>
      </c>
      <c r="E5" t="n">
        <v>77.09999999999999</v>
      </c>
      <c r="F5" t="n">
        <v>70.59999999999999</v>
      </c>
      <c r="G5" t="n">
        <v>94</v>
      </c>
    </row>
    <row r="6">
      <c r="A6" t="inlineStr">
        <is>
          <t>E&amp;I</t>
        </is>
      </c>
      <c r="B6" t="n">
        <v>9.1</v>
      </c>
      <c r="C6" t="n">
        <v>32</v>
      </c>
      <c r="D6" t="n">
        <v>21</v>
      </c>
      <c r="E6" t="n">
        <v>65.7</v>
      </c>
      <c r="F6" t="n">
        <v>79.40000000000001</v>
      </c>
      <c r="G6" t="n">
        <v>82</v>
      </c>
    </row>
    <row r="7">
      <c r="A7" t="inlineStr">
        <is>
          <t>M&amp;R</t>
        </is>
      </c>
      <c r="B7" t="n">
        <v>8.699999999999999</v>
      </c>
      <c r="C7" t="n">
        <v>48</v>
      </c>
      <c r="D7" t="n">
        <v>25</v>
      </c>
      <c r="E7" t="n">
        <v>70.59999999999999</v>
      </c>
      <c r="F7" t="n">
        <v>63.9</v>
      </c>
      <c r="G7" t="n">
        <v>98</v>
      </c>
    </row>
    <row r="8">
      <c r="A8" t="inlineStr">
        <is>
          <t>Application Eng</t>
        </is>
      </c>
      <c r="B8" t="n">
        <v>6.9</v>
      </c>
      <c r="C8" t="n">
        <v>28</v>
      </c>
      <c r="D8" t="n">
        <v>10</v>
      </c>
      <c r="E8" t="n">
        <v>67</v>
      </c>
      <c r="F8" t="n">
        <v>71.3</v>
      </c>
      <c r="G8" t="n">
        <v>96</v>
      </c>
    </row>
    <row r="9">
      <c r="A9" t="inlineStr">
        <is>
          <t>Marine</t>
        </is>
      </c>
      <c r="B9" t="n">
        <v>6.8</v>
      </c>
      <c r="C9" t="n">
        <v>49</v>
      </c>
      <c r="D9" t="n">
        <v>27</v>
      </c>
      <c r="E9" t="n">
        <v>71.90000000000001</v>
      </c>
      <c r="F9" t="n">
        <v>71.09999999999999</v>
      </c>
      <c r="G9" t="n">
        <v>95</v>
      </c>
    </row>
    <row r="10">
      <c r="A10" t="inlineStr">
        <is>
          <t>Production Eng</t>
        </is>
      </c>
      <c r="B10" t="n">
        <v>6</v>
      </c>
      <c r="C10" t="n">
        <v>36</v>
      </c>
      <c r="D10" t="n">
        <v>14</v>
      </c>
      <c r="E10" t="n">
        <v>60.6</v>
      </c>
      <c r="F10" t="n">
        <v>57.3</v>
      </c>
      <c r="G10" t="n">
        <v>99</v>
      </c>
    </row>
  </sheetData>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C210"/>
  <sheetViews>
    <sheetView tabSelected="0" workbookViewId="0">
      <pane ySplit="1" topLeftCell="A2" activePane="bottomLeft" state="frozen"/>
      <selection pane="bottomLeft" activeCell="A1" sqref="A1"/>
    </sheetView>
  </sheetViews>
  <sheetFormatPr baseColWidth="8" defaultRowHeight="15"/>
  <cols>
    <col width="10" customWidth="1" min="1" max="1"/>
    <col width="10" customWidth="1" min="2" max="2"/>
    <col width="12" customWidth="1" min="3" max="3"/>
  </cols>
  <sheetData>
    <row r="1">
      <c r="A1" t="inlineStr">
        <is>
          <t>month</t>
        </is>
      </c>
      <c r="B1" t="inlineStr">
        <is>
          <t>plan_pct</t>
        </is>
      </c>
      <c r="C1" t="inlineStr">
        <is>
          <t>actual_pct</t>
        </is>
      </c>
    </row>
    <row r="2">
      <c r="A2" s="5" t="inlineStr">
        <is>
          <t>2026-10</t>
        </is>
      </c>
      <c r="B2" t="n">
        <v>67.2</v>
      </c>
      <c r="C2" t="n">
        <v>70.5</v>
      </c>
    </row>
    <row r="3">
      <c r="A3" s="5" t="inlineStr">
        <is>
          <t>2026-11</t>
        </is>
      </c>
      <c r="B3" t="n">
        <v>71</v>
      </c>
    </row>
    <row r="4">
      <c r="A4" s="5" t="inlineStr">
        <is>
          <t>2026-12</t>
        </is>
      </c>
      <c r="B4" t="n">
        <v>75</v>
      </c>
    </row>
    <row r="5">
      <c r="A5" s="5" t="inlineStr">
        <is>
          <t>2027-01</t>
        </is>
      </c>
      <c r="B5" t="n">
        <v>80</v>
      </c>
    </row>
    <row r="6">
      <c r="A6" s="5" t="inlineStr">
        <is>
          <t>2027-02</t>
        </is>
      </c>
      <c r="B6" t="n">
        <v>83</v>
      </c>
    </row>
    <row r="7">
      <c r="A7" s="5" t="inlineStr">
        <is>
          <t>2027-03</t>
        </is>
      </c>
      <c r="B7" t="n">
        <v>87</v>
      </c>
    </row>
    <row r="8">
      <c r="A8" s="5" t="inlineStr">
        <is>
          <t>2027-04</t>
        </is>
      </c>
      <c r="B8" t="n">
        <v>90</v>
      </c>
    </row>
    <row r="9">
      <c r="A9" s="5" t="inlineStr">
        <is>
          <t>2027-05</t>
        </is>
      </c>
      <c r="B9" t="n">
        <v>93</v>
      </c>
    </row>
    <row r="10">
      <c r="A10" s="5" t="inlineStr">
        <is>
          <t>2027-06</t>
        </is>
      </c>
      <c r="B10" t="n">
        <v>95</v>
      </c>
    </row>
    <row r="11">
      <c r="A11" s="5" t="n"/>
    </row>
    <row r="12">
      <c r="A12" s="5" t="n"/>
    </row>
    <row r="13">
      <c r="A13" s="5" t="n"/>
    </row>
    <row r="14">
      <c r="A14" s="5" t="n"/>
    </row>
    <row r="15">
      <c r="A15" s="5" t="n"/>
    </row>
    <row r="16">
      <c r="A16" s="5" t="n"/>
    </row>
    <row r="17">
      <c r="A17" s="5" t="n"/>
    </row>
    <row r="18">
      <c r="A18" s="5" t="n"/>
    </row>
    <row r="19">
      <c r="A19" s="5" t="n"/>
    </row>
    <row r="20">
      <c r="A20" s="5" t="n"/>
    </row>
    <row r="21">
      <c r="A21" s="5" t="n"/>
    </row>
    <row r="22">
      <c r="A22" s="5" t="n"/>
    </row>
    <row r="23">
      <c r="A23" s="5" t="n"/>
    </row>
    <row r="24">
      <c r="A24" s="5" t="n"/>
    </row>
    <row r="25">
      <c r="A25" s="5" t="n"/>
    </row>
    <row r="26">
      <c r="A26" s="5" t="n"/>
    </row>
    <row r="27">
      <c r="A27" s="5" t="n"/>
    </row>
    <row r="28">
      <c r="A28" s="5" t="n"/>
    </row>
    <row r="29">
      <c r="A29" s="5" t="n"/>
    </row>
    <row r="30">
      <c r="A30" s="5" t="n"/>
    </row>
    <row r="31">
      <c r="A31" s="5" t="n"/>
    </row>
    <row r="32">
      <c r="A32" s="5" t="n"/>
    </row>
    <row r="33">
      <c r="A33" s="5" t="n"/>
    </row>
    <row r="34">
      <c r="A34" s="5" t="n"/>
    </row>
    <row r="35">
      <c r="A35" s="5" t="n"/>
    </row>
    <row r="36">
      <c r="A36" s="5" t="n"/>
    </row>
    <row r="37">
      <c r="A37" s="5" t="n"/>
    </row>
    <row r="38">
      <c r="A38" s="5" t="n"/>
    </row>
    <row r="39">
      <c r="A39" s="5" t="n"/>
    </row>
    <row r="40">
      <c r="A40" s="5" t="n"/>
    </row>
    <row r="41">
      <c r="A41" s="5" t="n"/>
    </row>
    <row r="42">
      <c r="A42" s="5" t="n"/>
    </row>
    <row r="43">
      <c r="A43" s="5" t="n"/>
    </row>
    <row r="44">
      <c r="A44" s="5" t="n"/>
    </row>
    <row r="45">
      <c r="A45" s="5" t="n"/>
    </row>
    <row r="46">
      <c r="A46" s="5" t="n"/>
    </row>
    <row r="47">
      <c r="A47" s="5" t="n"/>
    </row>
    <row r="48">
      <c r="A48" s="5" t="n"/>
    </row>
    <row r="49">
      <c r="A49" s="5" t="n"/>
    </row>
    <row r="50">
      <c r="A50" s="5" t="n"/>
    </row>
    <row r="51">
      <c r="A51" s="5" t="n"/>
    </row>
    <row r="52">
      <c r="A52" s="5" t="n"/>
    </row>
    <row r="53">
      <c r="A53" s="5" t="n"/>
    </row>
    <row r="54">
      <c r="A54" s="5" t="n"/>
    </row>
    <row r="55">
      <c r="A55" s="5" t="n"/>
    </row>
    <row r="56">
      <c r="A56" s="5" t="n"/>
    </row>
    <row r="57">
      <c r="A57" s="5" t="n"/>
    </row>
    <row r="58">
      <c r="A58" s="5" t="n"/>
    </row>
    <row r="59">
      <c r="A59" s="5" t="n"/>
    </row>
    <row r="60">
      <c r="A60" s="5" t="n"/>
    </row>
    <row r="61">
      <c r="A61" s="5" t="n"/>
    </row>
    <row r="62">
      <c r="A62" s="5" t="n"/>
    </row>
    <row r="63">
      <c r="A63" s="5" t="n"/>
    </row>
    <row r="64">
      <c r="A64" s="5" t="n"/>
    </row>
    <row r="65">
      <c r="A65" s="5" t="n"/>
    </row>
    <row r="66">
      <c r="A66" s="5" t="n"/>
    </row>
    <row r="67">
      <c r="A67" s="5" t="n"/>
    </row>
    <row r="68">
      <c r="A68" s="5" t="n"/>
    </row>
    <row r="69">
      <c r="A69" s="5" t="n"/>
    </row>
    <row r="70">
      <c r="A70" s="5" t="n"/>
    </row>
    <row r="71">
      <c r="A71" s="5" t="n"/>
    </row>
    <row r="72">
      <c r="A72" s="5" t="n"/>
    </row>
    <row r="73">
      <c r="A73" s="5" t="n"/>
    </row>
    <row r="74">
      <c r="A74" s="5" t="n"/>
    </row>
    <row r="75">
      <c r="A75" s="5" t="n"/>
    </row>
    <row r="76">
      <c r="A76" s="5" t="n"/>
    </row>
    <row r="77">
      <c r="A77" s="5" t="n"/>
    </row>
    <row r="78">
      <c r="A78" s="5" t="n"/>
    </row>
    <row r="79">
      <c r="A79" s="5" t="n"/>
    </row>
    <row r="80">
      <c r="A80" s="5" t="n"/>
    </row>
    <row r="81">
      <c r="A81" s="5" t="n"/>
    </row>
    <row r="82">
      <c r="A82" s="5" t="n"/>
    </row>
    <row r="83">
      <c r="A83" s="5" t="n"/>
    </row>
    <row r="84">
      <c r="A84" s="5" t="n"/>
    </row>
    <row r="85">
      <c r="A85" s="5" t="n"/>
    </row>
    <row r="86">
      <c r="A86" s="5" t="n"/>
    </row>
    <row r="87">
      <c r="A87" s="5" t="n"/>
    </row>
    <row r="88">
      <c r="A88" s="5" t="n"/>
    </row>
    <row r="89">
      <c r="A89" s="5" t="n"/>
    </row>
    <row r="90">
      <c r="A90" s="5" t="n"/>
    </row>
    <row r="91">
      <c r="A91" s="5" t="n"/>
    </row>
    <row r="92">
      <c r="A92" s="5" t="n"/>
    </row>
    <row r="93">
      <c r="A93" s="5" t="n"/>
    </row>
    <row r="94">
      <c r="A94" s="5" t="n"/>
    </row>
    <row r="95">
      <c r="A95" s="5" t="n"/>
    </row>
    <row r="96">
      <c r="A96" s="5" t="n"/>
    </row>
    <row r="97">
      <c r="A97" s="5" t="n"/>
    </row>
    <row r="98">
      <c r="A98" s="5" t="n"/>
    </row>
    <row r="99">
      <c r="A99" s="5" t="n"/>
    </row>
    <row r="100">
      <c r="A100" s="5" t="n"/>
    </row>
    <row r="101">
      <c r="A101" s="5" t="n"/>
    </row>
    <row r="102">
      <c r="A102" s="5" t="n"/>
    </row>
    <row r="103">
      <c r="A103" s="5" t="n"/>
    </row>
    <row r="104">
      <c r="A104" s="5" t="n"/>
    </row>
    <row r="105">
      <c r="A105" s="5" t="n"/>
    </row>
    <row r="106">
      <c r="A106" s="5" t="n"/>
    </row>
    <row r="107">
      <c r="A107" s="5" t="n"/>
    </row>
    <row r="108">
      <c r="A108" s="5" t="n"/>
    </row>
    <row r="109">
      <c r="A109" s="5" t="n"/>
    </row>
    <row r="110">
      <c r="A110" s="5" t="n"/>
    </row>
    <row r="111">
      <c r="A111" s="5" t="n"/>
    </row>
    <row r="112">
      <c r="A112" s="5" t="n"/>
    </row>
    <row r="113">
      <c r="A113" s="5" t="n"/>
    </row>
    <row r="114">
      <c r="A114" s="5" t="n"/>
    </row>
    <row r="115">
      <c r="A115" s="5" t="n"/>
    </row>
    <row r="116">
      <c r="A116" s="5" t="n"/>
    </row>
    <row r="117">
      <c r="A117" s="5" t="n"/>
    </row>
    <row r="118">
      <c r="A118" s="5" t="n"/>
    </row>
    <row r="119">
      <c r="A119" s="5" t="n"/>
    </row>
    <row r="120">
      <c r="A120" s="5" t="n"/>
    </row>
    <row r="121">
      <c r="A121" s="5" t="n"/>
    </row>
    <row r="122">
      <c r="A122" s="5" t="n"/>
    </row>
    <row r="123">
      <c r="A123" s="5" t="n"/>
    </row>
    <row r="124">
      <c r="A124" s="5" t="n"/>
    </row>
    <row r="125">
      <c r="A125" s="5" t="n"/>
    </row>
    <row r="126">
      <c r="A126" s="5" t="n"/>
    </row>
    <row r="127">
      <c r="A127" s="5" t="n"/>
    </row>
    <row r="128">
      <c r="A128" s="5" t="n"/>
    </row>
    <row r="129">
      <c r="A129" s="5" t="n"/>
    </row>
    <row r="130">
      <c r="A130" s="5" t="n"/>
    </row>
    <row r="131">
      <c r="A131" s="5" t="n"/>
    </row>
    <row r="132">
      <c r="A132" s="5" t="n"/>
    </row>
    <row r="133">
      <c r="A133" s="5" t="n"/>
    </row>
    <row r="134">
      <c r="A134" s="5" t="n"/>
    </row>
    <row r="135">
      <c r="A135" s="5" t="n"/>
    </row>
    <row r="136">
      <c r="A136" s="5" t="n"/>
    </row>
    <row r="137">
      <c r="A137" s="5" t="n"/>
    </row>
    <row r="138">
      <c r="A138" s="5" t="n"/>
    </row>
    <row r="139">
      <c r="A139" s="5" t="n"/>
    </row>
    <row r="140">
      <c r="A140" s="5" t="n"/>
    </row>
    <row r="141">
      <c r="A141" s="5" t="n"/>
    </row>
    <row r="142">
      <c r="A142" s="5" t="n"/>
    </row>
    <row r="143">
      <c r="A143" s="5" t="n"/>
    </row>
    <row r="144">
      <c r="A144" s="5" t="n"/>
    </row>
    <row r="145">
      <c r="A145" s="5" t="n"/>
    </row>
    <row r="146">
      <c r="A146" s="5" t="n"/>
    </row>
    <row r="147">
      <c r="A147" s="5" t="n"/>
    </row>
    <row r="148">
      <c r="A148" s="5" t="n"/>
    </row>
    <row r="149">
      <c r="A149" s="5" t="n"/>
    </row>
    <row r="150">
      <c r="A150" s="5" t="n"/>
    </row>
    <row r="151">
      <c r="A151" s="5" t="n"/>
    </row>
    <row r="152">
      <c r="A152" s="5" t="n"/>
    </row>
    <row r="153">
      <c r="A153" s="5" t="n"/>
    </row>
    <row r="154">
      <c r="A154" s="5" t="n"/>
    </row>
    <row r="155">
      <c r="A155" s="5" t="n"/>
    </row>
    <row r="156">
      <c r="A156" s="5" t="n"/>
    </row>
    <row r="157">
      <c r="A157" s="5" t="n"/>
    </row>
    <row r="158">
      <c r="A158" s="5" t="n"/>
    </row>
    <row r="159">
      <c r="A159" s="5" t="n"/>
    </row>
    <row r="160">
      <c r="A160" s="5" t="n"/>
    </row>
    <row r="161">
      <c r="A161" s="5" t="n"/>
    </row>
    <row r="162">
      <c r="A162" s="5" t="n"/>
    </row>
    <row r="163">
      <c r="A163" s="5" t="n"/>
    </row>
    <row r="164">
      <c r="A164" s="5" t="n"/>
    </row>
    <row r="165">
      <c r="A165" s="5" t="n"/>
    </row>
    <row r="166">
      <c r="A166" s="5" t="n"/>
    </row>
    <row r="167">
      <c r="A167" s="5" t="n"/>
    </row>
    <row r="168">
      <c r="A168" s="5" t="n"/>
    </row>
    <row r="169">
      <c r="A169" s="5" t="n"/>
    </row>
    <row r="170">
      <c r="A170" s="5" t="n"/>
    </row>
    <row r="171">
      <c r="A171" s="5" t="n"/>
    </row>
    <row r="172">
      <c r="A172" s="5" t="n"/>
    </row>
    <row r="173">
      <c r="A173" s="5" t="n"/>
    </row>
    <row r="174">
      <c r="A174" s="5" t="n"/>
    </row>
    <row r="175">
      <c r="A175" s="5" t="n"/>
    </row>
    <row r="176">
      <c r="A176" s="5" t="n"/>
    </row>
    <row r="177">
      <c r="A177" s="5" t="n"/>
    </row>
    <row r="178">
      <c r="A178" s="5" t="n"/>
    </row>
    <row r="179">
      <c r="A179" s="5" t="n"/>
    </row>
    <row r="180">
      <c r="A180" s="5" t="n"/>
    </row>
    <row r="181">
      <c r="A181" s="5" t="n"/>
    </row>
    <row r="182">
      <c r="A182" s="5" t="n"/>
    </row>
    <row r="183">
      <c r="A183" s="5" t="n"/>
    </row>
    <row r="184">
      <c r="A184" s="5" t="n"/>
    </row>
    <row r="185">
      <c r="A185" s="5" t="n"/>
    </row>
    <row r="186">
      <c r="A186" s="5" t="n"/>
    </row>
    <row r="187">
      <c r="A187" s="5" t="n"/>
    </row>
    <row r="188">
      <c r="A188" s="5" t="n"/>
    </row>
    <row r="189">
      <c r="A189" s="5" t="n"/>
    </row>
    <row r="190">
      <c r="A190" s="5" t="n"/>
    </row>
    <row r="191">
      <c r="A191" s="5" t="n"/>
    </row>
    <row r="192">
      <c r="A192" s="5" t="n"/>
    </row>
    <row r="193">
      <c r="A193" s="5" t="n"/>
    </row>
    <row r="194">
      <c r="A194" s="5" t="n"/>
    </row>
    <row r="195">
      <c r="A195" s="5" t="n"/>
    </row>
    <row r="196">
      <c r="A196" s="5" t="n"/>
    </row>
    <row r="197">
      <c r="A197" s="5" t="n"/>
    </row>
    <row r="198">
      <c r="A198" s="5" t="n"/>
    </row>
    <row r="199">
      <c r="A199" s="5" t="n"/>
    </row>
    <row r="200">
      <c r="A200" s="5" t="n"/>
    </row>
    <row r="201">
      <c r="A201" s="5" t="n"/>
    </row>
    <row r="202">
      <c r="A202" s="5" t="n"/>
    </row>
    <row r="203">
      <c r="A203" s="5" t="n"/>
    </row>
    <row r="204">
      <c r="A204" s="5" t="n"/>
    </row>
    <row r="205">
      <c r="A205" s="5" t="n"/>
    </row>
    <row r="206">
      <c r="A206" s="5" t="n"/>
    </row>
    <row r="207">
      <c r="A207" s="5" t="n"/>
    </row>
    <row r="208">
      <c r="A208" s="5" t="n"/>
    </row>
    <row r="209">
      <c r="A209" s="5" t="n"/>
    </row>
    <row r="210">
      <c r="A210" s="5" t="n"/>
    </row>
  </sheetData>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E25"/>
  <sheetViews>
    <sheetView tabSelected="0" workbookViewId="0">
      <pane ySplit="1" topLeftCell="A2" activePane="bottomLeft" state="frozen"/>
      <selection pane="bottomLeft" activeCell="A1" sqref="A1"/>
    </sheetView>
  </sheetViews>
  <sheetFormatPr baseColWidth="8" defaultRowHeight="15"/>
  <cols>
    <col width="10" customWidth="1" min="1" max="1"/>
    <col width="10" customWidth="1" min="2" max="2"/>
    <col width="60" customWidth="1" min="3" max="3"/>
    <col width="10" customWidth="1" min="4" max="4"/>
    <col width="14" customWidth="1" min="5" max="5"/>
  </cols>
  <sheetData>
    <row r="1">
      <c r="A1" t="inlineStr">
        <is>
          <t>group</t>
        </is>
      </c>
      <c r="B1" t="inlineStr">
        <is>
          <t>code</t>
        </is>
      </c>
      <c r="C1" t="inlineStr">
        <is>
          <t>element</t>
        </is>
      </c>
      <c r="D1" t="inlineStr">
        <is>
          <t>items</t>
        </is>
      </c>
      <c r="E1" t="inlineStr">
        <is>
          <t>progress_pct</t>
        </is>
      </c>
    </row>
    <row r="2">
      <c r="A2" t="inlineStr">
        <is>
          <t>PEOPLE</t>
        </is>
      </c>
      <c r="B2" t="inlineStr">
        <is>
          <t>PE-01</t>
        </is>
      </c>
      <c r="C2" t="inlineStr">
        <is>
          <t>Organization, Manning &amp; Accountability</t>
        </is>
      </c>
      <c r="D2" t="n">
        <v>14</v>
      </c>
      <c r="E2" t="n">
        <v>64.3</v>
      </c>
    </row>
    <row r="3">
      <c r="A3" t="inlineStr">
        <is>
          <t>PEOPLE</t>
        </is>
      </c>
      <c r="B3" t="inlineStr">
        <is>
          <t>PE-02</t>
        </is>
      </c>
      <c r="C3" t="inlineStr">
        <is>
          <t>Competency, Training &amp; Authorization</t>
        </is>
      </c>
      <c r="D3" t="n">
        <v>26</v>
      </c>
      <c r="E3" t="n">
        <v>59.9</v>
      </c>
    </row>
    <row r="4">
      <c r="A4" t="inlineStr">
        <is>
          <t>PEOPLE</t>
        </is>
      </c>
      <c r="B4" t="inlineStr">
        <is>
          <t>PE-03</t>
        </is>
      </c>
      <c r="C4" t="inlineStr">
        <is>
          <t>Personnel Mobilization &amp; Fitness for Duty</t>
        </is>
      </c>
      <c r="D4" t="n">
        <v>3</v>
      </c>
      <c r="E4" t="n">
        <v>83.7</v>
      </c>
    </row>
    <row r="5">
      <c r="A5" t="inlineStr">
        <is>
          <t>PEOPLE</t>
        </is>
      </c>
      <c r="B5" t="inlineStr">
        <is>
          <t>PE-04</t>
        </is>
      </c>
      <c r="C5" t="inlineStr">
        <is>
          <t>HR Policies, Employment Conditions &amp; Retention</t>
        </is>
      </c>
      <c r="D5" t="n">
        <v>5</v>
      </c>
      <c r="E5" t="n">
        <v>100</v>
      </c>
    </row>
    <row r="6">
      <c r="A6" t="inlineStr">
        <is>
          <t>PLANT</t>
        </is>
      </c>
      <c r="B6" t="inlineStr">
        <is>
          <t>PL-01</t>
        </is>
      </c>
      <c r="C6" t="inlineStr">
        <is>
          <t>Facilities, Process &amp; Utilities Readiness</t>
        </is>
      </c>
      <c r="D6" t="n">
        <v>11</v>
      </c>
      <c r="E6" t="n">
        <v>77.2</v>
      </c>
    </row>
    <row r="7">
      <c r="A7" t="inlineStr">
        <is>
          <t>PLANT</t>
        </is>
      </c>
      <c r="B7" t="inlineStr">
        <is>
          <t>PL-02</t>
        </is>
      </c>
      <c r="C7" t="inlineStr">
        <is>
          <t>Wells, Flowlines &amp; Export Systems Readiness</t>
        </is>
      </c>
      <c r="D7" t="n">
        <v>20</v>
      </c>
      <c r="E7" t="n">
        <v>80.2</v>
      </c>
    </row>
    <row r="8">
      <c r="A8" t="inlineStr">
        <is>
          <t>PLANT</t>
        </is>
      </c>
      <c r="B8" t="inlineStr">
        <is>
          <t>PL-03</t>
        </is>
      </c>
      <c r="C8" t="inlineStr">
        <is>
          <t>Asset Integrity &amp; Safety Barrier Readiness</t>
        </is>
      </c>
      <c r="D8" t="n">
        <v>8</v>
      </c>
      <c r="E8" t="n">
        <v>14.1</v>
      </c>
    </row>
    <row r="9">
      <c r="A9" t="inlineStr">
        <is>
          <t>PLANT</t>
        </is>
      </c>
      <c r="B9" t="inlineStr">
        <is>
          <t>PL-04</t>
        </is>
      </c>
      <c r="C9" t="inlineStr">
        <is>
          <t>Spares, Materials, Consumables &amp; Tools Readiness</t>
        </is>
      </c>
      <c r="D9" t="n">
        <v>15</v>
      </c>
      <c r="E9" t="n">
        <v>61.8</v>
      </c>
    </row>
    <row r="10">
      <c r="A10" t="inlineStr">
        <is>
          <t>PLANT</t>
        </is>
      </c>
      <c r="B10" t="inlineStr">
        <is>
          <t>PL-05</t>
        </is>
      </c>
      <c r="C10" t="inlineStr">
        <is>
          <t>Metering, Sampling, Analysers &amp; Environmental Monitoring</t>
        </is>
      </c>
      <c r="D10" t="n">
        <v>2</v>
      </c>
      <c r="E10" t="n">
        <v>0</v>
      </c>
    </row>
    <row r="11">
      <c r="A11" t="inlineStr">
        <is>
          <t>PLANT</t>
        </is>
      </c>
      <c r="B11" t="inlineStr">
        <is>
          <t>PL-06</t>
        </is>
      </c>
      <c r="C11" t="inlineStr">
        <is>
          <t>Onshore Base, Port &amp; Support Infrastructure</t>
        </is>
      </c>
      <c r="D11" t="n">
        <v>4</v>
      </c>
      <c r="E11" t="n">
        <v>72.3</v>
      </c>
    </row>
    <row r="12">
      <c r="A12" t="inlineStr">
        <is>
          <t>PROCESS</t>
        </is>
      </c>
      <c r="B12" t="inlineStr">
        <is>
          <t>PR-01</t>
        </is>
      </c>
      <c r="C12" t="inlineStr">
        <is>
          <t>ORR Governance, Readiness Acceptance &amp; Financial Readiness</t>
        </is>
      </c>
      <c r="D12" t="n">
        <v>18</v>
      </c>
      <c r="E12" t="n">
        <v>85.8</v>
      </c>
    </row>
    <row r="13">
      <c r="A13" t="inlineStr">
        <is>
          <t>PROCESS</t>
        </is>
      </c>
      <c r="B13" t="inlineStr">
        <is>
          <t>PR-02</t>
        </is>
      </c>
      <c r="C13" t="inlineStr">
        <is>
          <t>Legal Compliance, Licences, Permits, Certification &amp; Security</t>
        </is>
      </c>
      <c r="D13" t="n">
        <v>20</v>
      </c>
      <c r="E13" t="n">
        <v>81.5</v>
      </c>
    </row>
    <row r="14">
      <c r="A14" t="inlineStr">
        <is>
          <t>PROCESS</t>
        </is>
      </c>
      <c r="B14" t="inlineStr">
        <is>
          <t>PR-03</t>
        </is>
      </c>
      <c r="C14" t="inlineStr">
        <is>
          <t>HSE, Process Safety &amp; Control of Work</t>
        </is>
      </c>
      <c r="D14" t="n">
        <v>104</v>
      </c>
      <c r="E14" t="n">
        <v>85.59999999999999</v>
      </c>
    </row>
    <row r="15">
      <c r="A15" t="inlineStr">
        <is>
          <t>PROCESS</t>
        </is>
      </c>
      <c r="B15" t="inlineStr">
        <is>
          <t>PR-04</t>
        </is>
      </c>
      <c r="C15" t="inlineStr">
        <is>
          <t>Emergency Response, Crisis Management &amp; Continuity</t>
        </is>
      </c>
      <c r="D15" t="n">
        <v>29</v>
      </c>
      <c r="E15" t="n">
        <v>49.3</v>
      </c>
    </row>
    <row r="16">
      <c r="A16" t="inlineStr">
        <is>
          <t>PROCESS</t>
        </is>
      </c>
      <c r="B16" t="inlineStr">
        <is>
          <t>PR-05</t>
        </is>
      </c>
      <c r="C16" t="inlineStr">
        <is>
          <t>Operations Management &amp; Production Chemistry</t>
        </is>
      </c>
      <c r="D16" t="n">
        <v>80</v>
      </c>
      <c r="E16" t="n">
        <v>45.4</v>
      </c>
    </row>
    <row r="17">
      <c r="A17" t="inlineStr">
        <is>
          <t>PROCESS</t>
        </is>
      </c>
      <c r="B17" t="inlineStr">
        <is>
          <t>PR-06</t>
        </is>
      </c>
      <c r="C17" t="inlineStr">
        <is>
          <t>Maintenance, Reliability &amp; Integrity Management</t>
        </is>
      </c>
      <c r="D17" t="n">
        <v>88</v>
      </c>
      <c r="E17" t="n">
        <v>63.6</v>
      </c>
    </row>
    <row r="18">
      <c r="A18" t="inlineStr">
        <is>
          <t>PROCESS</t>
        </is>
      </c>
      <c r="B18" t="inlineStr">
        <is>
          <t>PR-07</t>
        </is>
      </c>
      <c r="C18" t="inlineStr">
        <is>
          <t>Contracts, Procurement &amp; Supply Chain</t>
        </is>
      </c>
      <c r="D18" t="n">
        <v>51</v>
      </c>
      <c r="E18" t="n">
        <v>59.4</v>
      </c>
    </row>
    <row r="19">
      <c r="A19" t="inlineStr">
        <is>
          <t>PROCESS</t>
        </is>
      </c>
      <c r="B19" t="inlineStr">
        <is>
          <t>PR-08</t>
        </is>
      </c>
      <c r="C19" t="inlineStr">
        <is>
          <t>Integrated Coordination, Gas Dispatch, Metering &amp; Commercial Interface</t>
        </is>
      </c>
      <c r="D19" t="n">
        <v>13</v>
      </c>
      <c r="E19" t="n">
        <v>41.5</v>
      </c>
    </row>
    <row r="20">
      <c r="A20" t="inlineStr">
        <is>
          <t>PROCESS</t>
        </is>
      </c>
      <c r="B20" t="inlineStr">
        <is>
          <t>PR-09</t>
        </is>
      </c>
      <c r="C20" t="inlineStr">
        <is>
          <t>Technical Information, Data, Digital Systems &amp; OT Security</t>
        </is>
      </c>
      <c r="D20" t="n">
        <v>40</v>
      </c>
      <c r="E20" t="n">
        <v>59.6</v>
      </c>
    </row>
    <row r="21">
      <c r="A21" t="inlineStr">
        <is>
          <t>PROCESS</t>
        </is>
      </c>
      <c r="B21" t="inlineStr">
        <is>
          <t>PR-10</t>
        </is>
      </c>
      <c r="C21" t="inlineStr">
        <is>
          <t>Commissioning Interface, Handover, Start-up &amp; Stabilization</t>
        </is>
      </c>
      <c r="D21" t="n">
        <v>27</v>
      </c>
      <c r="E21" t="n">
        <v>58.5</v>
      </c>
    </row>
    <row r="22">
      <c r="A22" t="inlineStr">
        <is>
          <t>PROCESS</t>
        </is>
      </c>
      <c r="B22" t="inlineStr">
        <is>
          <t>PR-11</t>
        </is>
      </c>
      <c r="C22" t="inlineStr">
        <is>
          <t>Production Management, Well Surveillance &amp; Hydrocarbon Accounting</t>
        </is>
      </c>
      <c r="D22" t="n">
        <v>21</v>
      </c>
      <c r="E22" t="n">
        <v>70.09999999999999</v>
      </c>
    </row>
    <row r="23">
      <c r="A23" t="inlineStr">
        <is>
          <t>PROCESS</t>
        </is>
      </c>
      <c r="B23" t="inlineStr">
        <is>
          <t>PR-12</t>
        </is>
      </c>
      <c r="C23" t="inlineStr">
        <is>
          <t>Marine, Aviation &amp; Logistics Operations</t>
        </is>
      </c>
      <c r="D23" t="n">
        <v>49</v>
      </c>
      <c r="E23" t="n">
        <v>68.8</v>
      </c>
    </row>
    <row r="24">
      <c r="A24" t="inlineStr">
        <is>
          <t>PROCESS</t>
        </is>
      </c>
      <c r="B24" t="inlineStr">
        <is>
          <t>PR-13</t>
        </is>
      </c>
      <c r="C24" t="inlineStr">
        <is>
          <t>Performance Management, Assurance &amp; Continuous Improvement</t>
        </is>
      </c>
      <c r="D24" t="n">
        <v>22</v>
      </c>
      <c r="E24" t="n">
        <v>68</v>
      </c>
    </row>
    <row r="25">
      <c r="A25" t="inlineStr">
        <is>
          <t>PROCESS</t>
        </is>
      </c>
      <c r="B25" t="inlineStr">
        <is>
          <t>PR-14</t>
        </is>
      </c>
      <c r="C25" t="inlineStr">
        <is>
          <t>Design, Engineering, Operability &amp; Maintainability Assurance</t>
        </is>
      </c>
      <c r="D25" t="n">
        <v>22</v>
      </c>
      <c r="E25" t="n">
        <v>89.3</v>
      </c>
    </row>
  </sheetData>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C5"/>
  <sheetViews>
    <sheetView tabSelected="0" workbookViewId="0">
      <pane ySplit="1" topLeftCell="A2" activePane="bottomLeft" state="frozen"/>
      <selection pane="bottomLeft" activeCell="A1" sqref="A1"/>
    </sheetView>
  </sheetViews>
  <sheetFormatPr baseColWidth="8" defaultRowHeight="15"/>
  <cols>
    <col width="10" customWidth="1" min="1" max="1"/>
    <col width="10" customWidth="1" min="2" max="2"/>
    <col width="14" customWidth="1" min="3" max="3"/>
  </cols>
  <sheetData>
    <row r="1">
      <c r="A1" t="inlineStr">
        <is>
          <t>group</t>
        </is>
      </c>
      <c r="B1" t="inlineStr">
        <is>
          <t>items</t>
        </is>
      </c>
      <c r="C1" t="inlineStr">
        <is>
          <t>progress_pct</t>
        </is>
      </c>
    </row>
    <row r="2">
      <c r="A2" t="inlineStr">
        <is>
          <t>PEOPLE</t>
        </is>
      </c>
      <c r="B2" t="n">
        <v>48</v>
      </c>
      <c r="C2" t="n">
        <v>66.3</v>
      </c>
    </row>
    <row r="3">
      <c r="A3" t="inlineStr">
        <is>
          <t>PLANT</t>
        </is>
      </c>
      <c r="B3" t="n">
        <v>60</v>
      </c>
      <c r="C3" t="n">
        <v>61.4</v>
      </c>
    </row>
    <row r="4">
      <c r="A4" t="inlineStr">
        <is>
          <t>PROCESS</t>
        </is>
      </c>
      <c r="B4" t="n">
        <v>590</v>
      </c>
      <c r="C4" t="n">
        <v>66</v>
      </c>
    </row>
    <row r="5">
      <c r="A5" t="inlineStr">
        <is>
          <t>TOTAL</t>
        </is>
      </c>
      <c r="B5" t="n">
        <v>698</v>
      </c>
      <c r="C5" t="n">
        <v>65.59999999999999</v>
      </c>
    </row>
  </sheetData>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I272"/>
  <sheetViews>
    <sheetView tabSelected="0" workbookViewId="0">
      <pane ySplit="1" topLeftCell="A2" activePane="bottomLeft" state="frozen"/>
      <selection pane="bottomLeft" activeCell="A1" sqref="A1"/>
    </sheetView>
  </sheetViews>
  <sheetFormatPr baseColWidth="8" defaultRowHeight="15"/>
  <cols>
    <col width="10" customWidth="1" min="1" max="1"/>
    <col width="20" customWidth="1" min="2" max="2"/>
    <col width="60" customWidth="1" min="3" max="3"/>
    <col width="12" customWidth="1" min="4" max="4"/>
    <col width="10" customWidth="1" min="5" max="5"/>
    <col width="24" customWidth="1" min="6" max="6"/>
    <col width="10" customWidth="1" min="7" max="7"/>
    <col width="16" customWidth="1" min="8" max="8"/>
    <col width="60" customWidth="1" min="9" max="9"/>
  </cols>
  <sheetData>
    <row r="1">
      <c r="A1" t="inlineStr">
        <is>
          <t>id</t>
        </is>
      </c>
      <c r="B1" t="inlineStr">
        <is>
          <t>category</t>
        </is>
      </c>
      <c r="C1" t="inlineStr">
        <is>
          <t>document</t>
        </is>
      </c>
      <c r="D1" t="inlineStr">
        <is>
          <t>level</t>
        </is>
      </c>
      <c r="E1" t="inlineStr">
        <is>
          <t>issued</t>
        </is>
      </c>
      <c r="F1" t="inlineStr">
        <is>
          <t>responsible</t>
        </is>
      </c>
      <c r="G1" t="inlineStr">
        <is>
          <t>expected</t>
        </is>
      </c>
      <c r="H1" t="inlineStr">
        <is>
          <t>completion_pct</t>
        </is>
      </c>
      <c r="I1" t="inlineStr">
        <is>
          <t>remark</t>
        </is>
      </c>
    </row>
    <row r="2">
      <c r="A2" t="inlineStr">
        <is>
          <t>HSE-01</t>
        </is>
      </c>
      <c r="B2" t="inlineStr">
        <is>
          <t>HSE</t>
        </is>
      </c>
      <c r="C2" t="inlineStr">
        <is>
          <t>Permit to Work Procedure</t>
        </is>
      </c>
      <c r="D2" t="inlineStr">
        <is>
          <t>Company</t>
        </is>
      </c>
      <c r="E2" t="inlineStr">
        <is>
          <t>Yes</t>
        </is>
      </c>
      <c r="F2" t="inlineStr">
        <is>
          <t>Offshore</t>
        </is>
      </c>
      <c r="G2" s="5" t="inlineStr">
        <is>
          <t>Jan-25</t>
        </is>
      </c>
      <c r="H2" t="n">
        <v>100</v>
      </c>
      <c r="I2" t="inlineStr">
        <is>
          <t>Issued on 25-Mar-25</t>
        </is>
      </c>
    </row>
    <row r="3">
      <c r="A3" t="inlineStr">
        <is>
          <t>HSE-02</t>
        </is>
      </c>
      <c r="B3" t="inlineStr">
        <is>
          <t>HSE</t>
        </is>
      </c>
      <c r="C3" t="inlineStr">
        <is>
          <t>Equipment Isolation Philosophy</t>
        </is>
      </c>
      <c r="D3" t="inlineStr">
        <is>
          <t>Company</t>
        </is>
      </c>
      <c r="E3" t="inlineStr">
        <is>
          <t>Yes</t>
        </is>
      </c>
      <c r="F3" t="inlineStr">
        <is>
          <t>Offshore</t>
        </is>
      </c>
      <c r="G3" s="5" t="inlineStr">
        <is>
          <t>Jan-25</t>
        </is>
      </c>
      <c r="H3" t="n">
        <v>100</v>
      </c>
    </row>
    <row r="4">
      <c r="A4" t="inlineStr">
        <is>
          <t>HSE-03</t>
        </is>
      </c>
      <c r="B4" t="inlineStr">
        <is>
          <t>HSE</t>
        </is>
      </c>
      <c r="C4" t="inlineStr">
        <is>
          <t>Lock-out Tag-out Procedure</t>
        </is>
      </c>
      <c r="D4" t="inlineStr">
        <is>
          <t>Company</t>
        </is>
      </c>
      <c r="E4" t="inlineStr">
        <is>
          <t>Yes</t>
        </is>
      </c>
      <c r="F4" t="inlineStr">
        <is>
          <t>Offshore</t>
        </is>
      </c>
      <c r="G4" s="5" t="inlineStr">
        <is>
          <t>Jan-25</t>
        </is>
      </c>
      <c r="H4" t="n">
        <v>100</v>
      </c>
      <c r="I4" t="inlineStr">
        <is>
          <t>Issued</t>
        </is>
      </c>
    </row>
    <row r="5">
      <c r="A5" t="inlineStr">
        <is>
          <t>HSE-04</t>
        </is>
      </c>
      <c r="B5" t="inlineStr">
        <is>
          <t>HSE</t>
        </is>
      </c>
      <c r="C5" t="inlineStr">
        <is>
          <t>Hot work control procedure</t>
        </is>
      </c>
      <c r="D5" t="inlineStr">
        <is>
          <t>Department</t>
        </is>
      </c>
      <c r="E5" t="inlineStr">
        <is>
          <t>Yes</t>
        </is>
      </c>
      <c r="F5" t="inlineStr">
        <is>
          <t>Offshore</t>
        </is>
      </c>
      <c r="G5" s="5" t="inlineStr">
        <is>
          <t>Jan-25</t>
        </is>
      </c>
      <c r="H5" t="n">
        <v>100</v>
      </c>
      <c r="I5" t="inlineStr">
        <is>
          <t>Issued on 25-Mar-25</t>
        </is>
      </c>
    </row>
    <row r="6">
      <c r="A6" t="inlineStr">
        <is>
          <t>HSE-05</t>
        </is>
      </c>
      <c r="B6" t="inlineStr">
        <is>
          <t>HSE</t>
        </is>
      </c>
      <c r="C6" t="inlineStr">
        <is>
          <t>Respirator Protection procedure</t>
        </is>
      </c>
      <c r="D6" t="inlineStr">
        <is>
          <t>Department</t>
        </is>
      </c>
      <c r="E6" t="inlineStr">
        <is>
          <t>Yes</t>
        </is>
      </c>
      <c r="F6" t="inlineStr">
        <is>
          <t>Offshore</t>
        </is>
      </c>
      <c r="G6" s="5" t="inlineStr">
        <is>
          <t>Mar-25</t>
        </is>
      </c>
      <c r="H6" t="n">
        <v>100</v>
      </c>
      <c r="I6" t="inlineStr">
        <is>
          <t>Issued 09 Jun 25</t>
        </is>
      </c>
    </row>
    <row r="7">
      <c r="A7" t="inlineStr">
        <is>
          <t>HSE-06</t>
        </is>
      </c>
      <c r="B7" t="inlineStr">
        <is>
          <t>HSE</t>
        </is>
      </c>
      <c r="C7" t="inlineStr">
        <is>
          <t>HV/MV procedure</t>
        </is>
      </c>
      <c r="D7" t="inlineStr">
        <is>
          <t>Department</t>
        </is>
      </c>
      <c r="E7" t="inlineStr">
        <is>
          <t>Yes</t>
        </is>
      </c>
      <c r="F7" t="inlineStr">
        <is>
          <t>Kiet HT</t>
        </is>
      </c>
      <c r="G7" s="5" t="inlineStr">
        <is>
          <t>Mar-25</t>
        </is>
      </c>
      <c r="H7" t="n">
        <v>100</v>
      </c>
      <c r="I7" t="inlineStr">
        <is>
          <t>Issued</t>
        </is>
      </c>
    </row>
    <row r="8">
      <c r="A8" t="inlineStr">
        <is>
          <t>HSE-07</t>
        </is>
      </c>
      <c r="B8" t="inlineStr">
        <is>
          <t>HSE</t>
        </is>
      </c>
      <c r="C8" t="inlineStr">
        <is>
          <t>ToolBox Talk procedure</t>
        </is>
      </c>
      <c r="D8" t="inlineStr">
        <is>
          <t>Company</t>
        </is>
      </c>
      <c r="E8" t="inlineStr">
        <is>
          <t>Yes</t>
        </is>
      </c>
      <c r="F8" t="inlineStr">
        <is>
          <t>Offshore</t>
        </is>
      </c>
      <c r="G8" s="5" t="inlineStr">
        <is>
          <t>Mar-25</t>
        </is>
      </c>
      <c r="H8" t="n">
        <v>100</v>
      </c>
      <c r="I8" t="inlineStr">
        <is>
          <t>Issued on 17 Jan 25</t>
        </is>
      </c>
    </row>
    <row r="9">
      <c r="A9" t="inlineStr">
        <is>
          <t>HSE-08</t>
        </is>
      </c>
      <c r="B9" t="inlineStr">
        <is>
          <t>HSE</t>
        </is>
      </c>
      <c r="C9" t="inlineStr">
        <is>
          <t>Electrical Code of Practice</t>
        </is>
      </c>
      <c r="D9" t="inlineStr">
        <is>
          <t>Company</t>
        </is>
      </c>
      <c r="E9" t="inlineStr">
        <is>
          <t>Yes</t>
        </is>
      </c>
      <c r="F9" t="inlineStr">
        <is>
          <t>Kiet HT</t>
        </is>
      </c>
      <c r="G9" s="5" t="inlineStr">
        <is>
          <t>Jun-26</t>
        </is>
      </c>
      <c r="H9" t="n">
        <v>100</v>
      </c>
      <c r="I9" t="inlineStr">
        <is>
          <t>Issued</t>
        </is>
      </c>
    </row>
    <row r="10">
      <c r="A10" t="inlineStr">
        <is>
          <t>HSE-09</t>
        </is>
      </c>
      <c r="B10" t="inlineStr">
        <is>
          <t>HSE</t>
        </is>
      </c>
      <c r="C10" t="inlineStr">
        <is>
          <t>H2S procedure</t>
        </is>
      </c>
      <c r="D10" t="inlineStr">
        <is>
          <t>Company</t>
        </is>
      </c>
      <c r="E10" t="inlineStr">
        <is>
          <t>Yes</t>
        </is>
      </c>
      <c r="F10" t="inlineStr">
        <is>
          <t>Offshore</t>
        </is>
      </c>
      <c r="G10" s="5" t="inlineStr">
        <is>
          <t>Mar-25</t>
        </is>
      </c>
      <c r="H10" t="n">
        <v>100</v>
      </c>
      <c r="I10" t="inlineStr">
        <is>
          <t>Issued</t>
        </is>
      </c>
    </row>
    <row r="11">
      <c r="A11" t="inlineStr">
        <is>
          <t>HSE-10</t>
        </is>
      </c>
      <c r="B11" t="inlineStr">
        <is>
          <t>HSE</t>
        </is>
      </c>
      <c r="C11" t="inlineStr">
        <is>
          <t>Scaffolding Procedure</t>
        </is>
      </c>
      <c r="D11" t="inlineStr">
        <is>
          <t>Department</t>
        </is>
      </c>
      <c r="E11" t="inlineStr">
        <is>
          <t>Yes</t>
        </is>
      </c>
      <c r="F11" t="inlineStr">
        <is>
          <t>Offshore</t>
        </is>
      </c>
      <c r="G11" s="5" t="inlineStr">
        <is>
          <t>Mar-25</t>
        </is>
      </c>
      <c r="H11" t="n">
        <v>100</v>
      </c>
      <c r="I11" t="inlineStr">
        <is>
          <t>Issued on 22/01/25</t>
        </is>
      </c>
    </row>
    <row r="12">
      <c r="A12" t="inlineStr">
        <is>
          <t>HSE-11</t>
        </is>
      </c>
      <c r="B12" t="inlineStr">
        <is>
          <t>HSE</t>
        </is>
      </c>
      <c r="C12" t="inlineStr">
        <is>
          <t>Electrical safety procedure</t>
        </is>
      </c>
      <c r="D12" t="inlineStr">
        <is>
          <t>Department</t>
        </is>
      </c>
      <c r="E12" t="inlineStr">
        <is>
          <t>Yes</t>
        </is>
      </c>
      <c r="F12" t="inlineStr">
        <is>
          <t>Kiet HT</t>
        </is>
      </c>
      <c r="G12" s="5" t="inlineStr">
        <is>
          <t>Mar-25</t>
        </is>
      </c>
      <c r="H12" t="n">
        <v>100</v>
      </c>
      <c r="I12" t="inlineStr">
        <is>
          <t>Issued on Oct 24</t>
        </is>
      </c>
    </row>
    <row r="13">
      <c r="A13" t="inlineStr">
        <is>
          <t>HSE-12</t>
        </is>
      </c>
      <c r="B13" t="inlineStr">
        <is>
          <t>HSE</t>
        </is>
      </c>
      <c r="C13" t="inlineStr">
        <is>
          <t>Marine Operations Manual</t>
        </is>
      </c>
      <c r="D13" t="inlineStr">
        <is>
          <t>Department</t>
        </is>
      </c>
      <c r="E13" t="inlineStr">
        <is>
          <t>Yes</t>
        </is>
      </c>
      <c r="F13" t="inlineStr">
        <is>
          <t>Thanh NN</t>
        </is>
      </c>
      <c r="G13" s="5" t="inlineStr">
        <is>
          <t>Mar-25</t>
        </is>
      </c>
      <c r="H13" t="n">
        <v>100</v>
      </c>
      <c r="I13" t="inlineStr">
        <is>
          <t>Issued</t>
        </is>
      </c>
    </row>
    <row r="14">
      <c r="A14" t="inlineStr">
        <is>
          <t>HSE-13</t>
        </is>
      </c>
      <c r="B14" t="inlineStr">
        <is>
          <t>HSE</t>
        </is>
      </c>
      <c r="C14" t="inlineStr">
        <is>
          <t>Working at Height Procedure</t>
        </is>
      </c>
      <c r="D14" t="inlineStr">
        <is>
          <t>Department</t>
        </is>
      </c>
      <c r="E14" t="inlineStr">
        <is>
          <t>Yes</t>
        </is>
      </c>
      <c r="F14" t="inlineStr">
        <is>
          <t>Offshore</t>
        </is>
      </c>
      <c r="G14" s="5" t="inlineStr">
        <is>
          <t>Apr-25</t>
        </is>
      </c>
      <c r="H14" t="n">
        <v>100</v>
      </c>
      <c r="I14" t="inlineStr">
        <is>
          <t>Issued on 22/01/25</t>
        </is>
      </c>
    </row>
    <row r="15">
      <c r="A15" t="inlineStr">
        <is>
          <t>HSE-14</t>
        </is>
      </c>
      <c r="B15" t="inlineStr">
        <is>
          <t>HSE</t>
        </is>
      </c>
      <c r="C15" t="inlineStr">
        <is>
          <t>Overside Working Procedure</t>
        </is>
      </c>
      <c r="D15" t="inlineStr">
        <is>
          <t>Department</t>
        </is>
      </c>
      <c r="E15" t="inlineStr">
        <is>
          <t>Yes</t>
        </is>
      </c>
      <c r="F15" t="inlineStr">
        <is>
          <t>Offshore</t>
        </is>
      </c>
      <c r="G15" s="5" t="inlineStr">
        <is>
          <t>Apr-25</t>
        </is>
      </c>
      <c r="H15" t="n">
        <v>100</v>
      </c>
      <c r="I15" t="inlineStr">
        <is>
          <t>Issued on 22/01/25</t>
        </is>
      </c>
    </row>
    <row r="16">
      <c r="A16" t="inlineStr">
        <is>
          <t>HSE-15</t>
        </is>
      </c>
      <c r="B16" t="inlineStr">
        <is>
          <t>HSE</t>
        </is>
      </c>
      <c r="C16" t="inlineStr">
        <is>
          <t>Pressure and Leak Testing Procedure</t>
        </is>
      </c>
      <c r="D16" t="inlineStr">
        <is>
          <t>Department</t>
        </is>
      </c>
      <c r="E16" t="inlineStr">
        <is>
          <t>Yes</t>
        </is>
      </c>
      <c r="F16" t="inlineStr">
        <is>
          <t>Offshore</t>
        </is>
      </c>
      <c r="G16" s="5" t="inlineStr">
        <is>
          <t>May-25</t>
        </is>
      </c>
      <c r="H16" t="n">
        <v>100</v>
      </c>
      <c r="I16" t="inlineStr">
        <is>
          <t>Issued</t>
        </is>
      </c>
    </row>
    <row r="17">
      <c r="A17" t="inlineStr">
        <is>
          <t>HSE-16</t>
        </is>
      </c>
      <c r="B17" t="inlineStr">
        <is>
          <t>HSE</t>
        </is>
      </c>
      <c r="C17" t="inlineStr">
        <is>
          <t>Compressed Air procedure</t>
        </is>
      </c>
      <c r="D17" t="inlineStr">
        <is>
          <t>Department</t>
        </is>
      </c>
      <c r="E17" t="inlineStr">
        <is>
          <t>Yes</t>
        </is>
      </c>
      <c r="F17" t="inlineStr">
        <is>
          <t>Offshore</t>
        </is>
      </c>
      <c r="G17" s="5" t="inlineStr">
        <is>
          <t>May-25</t>
        </is>
      </c>
      <c r="H17" t="n">
        <v>100</v>
      </c>
      <c r="I17" t="inlineStr">
        <is>
          <t>Issued on 22/01/25</t>
        </is>
      </c>
    </row>
    <row r="18">
      <c r="A18" t="inlineStr">
        <is>
          <t>HSE-17</t>
        </is>
      </c>
      <c r="B18" t="inlineStr">
        <is>
          <t>HSE</t>
        </is>
      </c>
      <c r="C18" t="inlineStr">
        <is>
          <t>Noise exposure and hearing protection</t>
        </is>
      </c>
      <c r="D18" t="inlineStr">
        <is>
          <t>Department</t>
        </is>
      </c>
      <c r="E18" t="inlineStr">
        <is>
          <t>Yes</t>
        </is>
      </c>
      <c r="F18" t="inlineStr">
        <is>
          <t>HSE Onshore</t>
        </is>
      </c>
      <c r="G18" s="5" t="inlineStr">
        <is>
          <t>Dec-25</t>
        </is>
      </c>
      <c r="H18" t="n">
        <v>100</v>
      </c>
      <c r="I18" t="inlineStr">
        <is>
          <t>Issued</t>
        </is>
      </c>
    </row>
    <row r="19">
      <c r="A19" t="inlineStr">
        <is>
          <t>HSE-18</t>
        </is>
      </c>
      <c r="B19" t="inlineStr">
        <is>
          <t>HSE</t>
        </is>
      </c>
      <c r="C19" t="inlineStr">
        <is>
          <t>Vibration Impact procedure</t>
        </is>
      </c>
      <c r="D19" t="inlineStr">
        <is>
          <t>Department</t>
        </is>
      </c>
      <c r="E19" t="inlineStr">
        <is>
          <t>Yes</t>
        </is>
      </c>
      <c r="F19" t="inlineStr">
        <is>
          <t>Offshore</t>
        </is>
      </c>
      <c r="G19" s="5" t="inlineStr">
        <is>
          <t>May-25</t>
        </is>
      </c>
      <c r="H19" t="n">
        <v>100</v>
      </c>
      <c r="I19" t="inlineStr">
        <is>
          <t>Issued on 15 Feb 25</t>
        </is>
      </c>
    </row>
    <row r="20">
      <c r="A20" t="inlineStr">
        <is>
          <t>HSE-19</t>
        </is>
      </c>
      <c r="B20" t="inlineStr">
        <is>
          <t>HSE</t>
        </is>
      </c>
      <c r="C20" t="inlineStr">
        <is>
          <t>Catering food safety &amp; hygiene management procedure</t>
        </is>
      </c>
      <c r="D20" t="inlineStr">
        <is>
          <t>Department</t>
        </is>
      </c>
      <c r="E20" t="inlineStr">
        <is>
          <t>Yes</t>
        </is>
      </c>
      <c r="F20" t="inlineStr">
        <is>
          <t>Offshore</t>
        </is>
      </c>
      <c r="G20" s="5" t="inlineStr">
        <is>
          <t>Jun-25</t>
        </is>
      </c>
      <c r="H20" t="n">
        <v>100</v>
      </c>
      <c r="I20" t="inlineStr">
        <is>
          <t>Issued</t>
        </is>
      </c>
    </row>
    <row r="21">
      <c r="A21" t="inlineStr">
        <is>
          <t>HSE-20</t>
        </is>
      </c>
      <c r="B21" t="inlineStr">
        <is>
          <t>HSE</t>
        </is>
      </c>
      <c r="C21" t="inlineStr">
        <is>
          <t>Mercury Hazard Control Procedure</t>
        </is>
      </c>
      <c r="D21" t="inlineStr">
        <is>
          <t>Department</t>
        </is>
      </c>
      <c r="E21" t="inlineStr">
        <is>
          <t>Yes</t>
        </is>
      </c>
      <c r="F21" t="inlineStr">
        <is>
          <t>Nguyen Minh Hoang</t>
        </is>
      </c>
      <c r="G21" s="5" t="inlineStr">
        <is>
          <t>Jun-25</t>
        </is>
      </c>
      <c r="H21" t="n">
        <v>100</v>
      </c>
      <c r="I21" t="inlineStr">
        <is>
          <t>Issued</t>
        </is>
      </c>
    </row>
    <row r="22">
      <c r="A22" t="inlineStr">
        <is>
          <t>HSE-21</t>
        </is>
      </c>
      <c r="B22" t="inlineStr">
        <is>
          <t>HSE</t>
        </is>
      </c>
      <c r="C22" t="inlineStr">
        <is>
          <t>HSE Risk Management Procedure</t>
        </is>
      </c>
      <c r="D22" t="inlineStr">
        <is>
          <t>Department</t>
        </is>
      </c>
      <c r="E22" t="inlineStr">
        <is>
          <t>Yes</t>
        </is>
      </c>
      <c r="F22" t="inlineStr">
        <is>
          <t>Offshore</t>
        </is>
      </c>
      <c r="G22" s="5" t="inlineStr">
        <is>
          <t>Jun-25</t>
        </is>
      </c>
      <c r="H22" t="n">
        <v>100</v>
      </c>
      <c r="I22" t="inlineStr">
        <is>
          <t>PQ1-00-HSE-PCD-PQC-00004-00_H01</t>
        </is>
      </c>
    </row>
    <row r="23">
      <c r="A23" t="inlineStr">
        <is>
          <t>HSE-22</t>
        </is>
      </c>
      <c r="B23" t="inlineStr">
        <is>
          <t>HSE</t>
        </is>
      </c>
      <c r="C23" t="inlineStr">
        <is>
          <t>Tools and Equipment Procedure</t>
        </is>
      </c>
      <c r="D23" t="inlineStr">
        <is>
          <t>Department</t>
        </is>
      </c>
      <c r="E23" t="inlineStr">
        <is>
          <t>Yes</t>
        </is>
      </c>
      <c r="F23" t="inlineStr">
        <is>
          <t>Offshore</t>
        </is>
      </c>
      <c r="G23" s="5" t="inlineStr">
        <is>
          <t>Jul-25</t>
        </is>
      </c>
      <c r="H23" t="n">
        <v>100</v>
      </c>
      <c r="I23" t="inlineStr">
        <is>
          <t>Issued on 15 Feb 25</t>
        </is>
      </c>
    </row>
    <row r="24">
      <c r="A24" t="inlineStr">
        <is>
          <t>HSE-23</t>
        </is>
      </c>
      <c r="B24" t="inlineStr">
        <is>
          <t>HSE</t>
        </is>
      </c>
      <c r="C24" t="inlineStr">
        <is>
          <t>Confined Space Entry Procedure</t>
        </is>
      </c>
      <c r="D24" t="inlineStr">
        <is>
          <t>Department</t>
        </is>
      </c>
      <c r="E24" t="inlineStr">
        <is>
          <t>Yes</t>
        </is>
      </c>
      <c r="F24" t="inlineStr">
        <is>
          <t>Offshore</t>
        </is>
      </c>
      <c r="G24" s="5" t="inlineStr">
        <is>
          <t>Jun-25</t>
        </is>
      </c>
      <c r="H24" t="n">
        <v>100</v>
      </c>
      <c r="I24" t="inlineStr">
        <is>
          <t>Issued</t>
        </is>
      </c>
    </row>
    <row r="25">
      <c r="A25" t="inlineStr">
        <is>
          <t>HSE-24</t>
        </is>
      </c>
      <c r="B25" t="inlineStr">
        <is>
          <t>HSE</t>
        </is>
      </c>
      <c r="C25" t="inlineStr">
        <is>
          <t>HSE Recording and Reporting Guideline</t>
        </is>
      </c>
      <c r="D25" t="inlineStr">
        <is>
          <t>Company</t>
        </is>
      </c>
      <c r="E25" t="inlineStr">
        <is>
          <t>Yes</t>
        </is>
      </c>
      <c r="F25" t="inlineStr">
        <is>
          <t>Offshore</t>
        </is>
      </c>
      <c r="G25" s="5" t="inlineStr">
        <is>
          <t>Jun-26</t>
        </is>
      </c>
      <c r="H25" t="n">
        <v>100</v>
      </c>
      <c r="I25" t="inlineStr">
        <is>
          <t>Issued</t>
        </is>
      </c>
    </row>
    <row r="26">
      <c r="A26" t="inlineStr">
        <is>
          <t>HSE-25</t>
        </is>
      </c>
      <c r="B26" t="inlineStr">
        <is>
          <t>HSE</t>
        </is>
      </c>
      <c r="C26" t="inlineStr">
        <is>
          <t>Inspection and Certification of Lifting Equipment</t>
        </is>
      </c>
      <c r="D26" t="inlineStr">
        <is>
          <t>Department</t>
        </is>
      </c>
      <c r="E26" t="inlineStr">
        <is>
          <t>Yes</t>
        </is>
      </c>
      <c r="F26" t="inlineStr">
        <is>
          <t>Nguyen TN</t>
        </is>
      </c>
      <c r="G26" s="5" t="inlineStr">
        <is>
          <t>Jun-26</t>
        </is>
      </c>
      <c r="H26" t="n">
        <v>100</v>
      </c>
      <c r="I26" t="inlineStr">
        <is>
          <t>Issued</t>
        </is>
      </c>
    </row>
    <row r="27">
      <c r="A27" t="inlineStr">
        <is>
          <t>HSE-26</t>
        </is>
      </c>
      <c r="B27" t="inlineStr">
        <is>
          <t>HSE</t>
        </is>
      </c>
      <c r="C27" t="inlineStr">
        <is>
          <t>Portable Appliance Testing Procedure</t>
        </is>
      </c>
      <c r="D27" t="inlineStr">
        <is>
          <t>Department</t>
        </is>
      </c>
      <c r="E27" t="inlineStr">
        <is>
          <t>Yes</t>
        </is>
      </c>
      <c r="F27" t="inlineStr">
        <is>
          <t>Kiet HT</t>
        </is>
      </c>
      <c r="G27" s="5" t="inlineStr">
        <is>
          <t>Jun-26</t>
        </is>
      </c>
      <c r="H27" t="n">
        <v>100</v>
      </c>
      <c r="I27" t="inlineStr">
        <is>
          <t>Issued</t>
        </is>
      </c>
    </row>
    <row r="28">
      <c r="A28" t="inlineStr">
        <is>
          <t>HSE-27</t>
        </is>
      </c>
      <c r="B28" t="inlineStr">
        <is>
          <t>HSE</t>
        </is>
      </c>
      <c r="C28" t="inlineStr">
        <is>
          <t>Gas Testing procedure</t>
        </is>
      </c>
      <c r="D28" t="inlineStr">
        <is>
          <t>Department</t>
        </is>
      </c>
      <c r="E28" t="inlineStr">
        <is>
          <t>Yes</t>
        </is>
      </c>
      <c r="F28" t="inlineStr">
        <is>
          <t>Offshore</t>
        </is>
      </c>
      <c r="G28" s="5" t="inlineStr">
        <is>
          <t>Jun-25</t>
        </is>
      </c>
      <c r="H28" t="n">
        <v>100</v>
      </c>
      <c r="I28" t="inlineStr">
        <is>
          <t>Issued on 17 Jan 25</t>
        </is>
      </c>
    </row>
    <row r="29">
      <c r="A29" t="inlineStr">
        <is>
          <t>HSE-28</t>
        </is>
      </c>
      <c r="B29" t="inlineStr">
        <is>
          <t>HSE</t>
        </is>
      </c>
      <c r="C29" t="inlineStr">
        <is>
          <t>Offshore facility procedure</t>
        </is>
      </c>
      <c r="D29" t="inlineStr">
        <is>
          <t>Department</t>
        </is>
      </c>
      <c r="E29" t="inlineStr">
        <is>
          <t>Yes</t>
        </is>
      </c>
      <c r="F29" t="inlineStr">
        <is>
          <t>Offshore</t>
        </is>
      </c>
      <c r="G29" s="5" t="inlineStr">
        <is>
          <t>Jun-25</t>
        </is>
      </c>
      <c r="H29" t="n">
        <v>100</v>
      </c>
      <c r="I29" t="inlineStr">
        <is>
          <t>Issued on 15 Feb 25</t>
        </is>
      </c>
    </row>
    <row r="30">
      <c r="A30" t="inlineStr">
        <is>
          <t>HSE-29</t>
        </is>
      </c>
      <c r="B30" t="inlineStr">
        <is>
          <t>HSE</t>
        </is>
      </c>
      <c r="C30" t="inlineStr">
        <is>
          <t>Simultaneous Operations procedure (SIMOP)</t>
        </is>
      </c>
      <c r="D30" t="inlineStr">
        <is>
          <t>Department</t>
        </is>
      </c>
      <c r="E30" t="inlineStr">
        <is>
          <t>No</t>
        </is>
      </c>
      <c r="F30" t="inlineStr">
        <is>
          <t>Offshore HSE</t>
        </is>
      </c>
      <c r="G30" s="5" t="inlineStr">
        <is>
          <t>Dec-26</t>
        </is>
      </c>
      <c r="H30" t="n">
        <v>75</v>
      </c>
      <c r="I30" t="inlineStr">
        <is>
          <t>Review ongoing</t>
        </is>
      </c>
    </row>
    <row r="31">
      <c r="A31" t="inlineStr">
        <is>
          <t>HSE-30</t>
        </is>
      </c>
      <c r="B31" t="inlineStr">
        <is>
          <t>HSE</t>
        </is>
      </c>
      <c r="C31" t="inlineStr">
        <is>
          <t>Emergency response plan for supply vessels</t>
        </is>
      </c>
      <c r="D31" t="inlineStr">
        <is>
          <t>Department</t>
        </is>
      </c>
      <c r="E31" t="inlineStr">
        <is>
          <t>Yes</t>
        </is>
      </c>
      <c r="F31" t="inlineStr">
        <is>
          <t>Thanh NN/HSE</t>
        </is>
      </c>
      <c r="G31" s="5" t="inlineStr">
        <is>
          <t>Dec-26</t>
        </is>
      </c>
      <c r="H31" t="n">
        <v>100</v>
      </c>
      <c r="I31" t="inlineStr">
        <is>
          <t>Included in vessel service contract</t>
        </is>
      </c>
    </row>
    <row r="32">
      <c r="A32" t="inlineStr">
        <is>
          <t>HSE-31</t>
        </is>
      </c>
      <c r="B32" t="inlineStr">
        <is>
          <t>HSE</t>
        </is>
      </c>
      <c r="C32" t="inlineStr">
        <is>
          <t>Domestic Water Control &amp; Monitoring</t>
        </is>
      </c>
      <c r="D32" t="inlineStr">
        <is>
          <t>Department</t>
        </is>
      </c>
      <c r="E32" t="inlineStr">
        <is>
          <t>Yes</t>
        </is>
      </c>
      <c r="F32" t="inlineStr">
        <is>
          <t>Offshore/HSE</t>
        </is>
      </c>
      <c r="G32" s="5" t="inlineStr">
        <is>
          <t>Jul-25</t>
        </is>
      </c>
      <c r="H32" t="n">
        <v>100</v>
      </c>
      <c r="I32" t="inlineStr">
        <is>
          <t>Issued</t>
        </is>
      </c>
    </row>
    <row r="33">
      <c r="A33" t="inlineStr">
        <is>
          <t>HSE-32</t>
        </is>
      </c>
      <c r="B33" t="inlineStr">
        <is>
          <t>HSE</t>
        </is>
      </c>
      <c r="C33" t="inlineStr">
        <is>
          <t>POB List and control procedure incl. T-Card control</t>
        </is>
      </c>
      <c r="D33" t="inlineStr">
        <is>
          <t>Department</t>
        </is>
      </c>
      <c r="E33" t="inlineStr">
        <is>
          <t>Yes</t>
        </is>
      </c>
      <c r="F33" t="inlineStr">
        <is>
          <t>Offshore</t>
        </is>
      </c>
      <c r="G33" s="5" t="inlineStr">
        <is>
          <t>Jul-25</t>
        </is>
      </c>
      <c r="H33" t="n">
        <v>100</v>
      </c>
      <c r="I33" t="inlineStr">
        <is>
          <t>Issued</t>
        </is>
      </c>
    </row>
    <row r="34">
      <c r="A34" t="inlineStr">
        <is>
          <t>HSE-33</t>
        </is>
      </c>
      <c r="B34" t="inlineStr">
        <is>
          <t>HSE</t>
        </is>
      </c>
      <c r="C34" t="inlineStr">
        <is>
          <t>Radio Silence Procedure</t>
        </is>
      </c>
      <c r="D34" t="inlineStr">
        <is>
          <t>Department</t>
        </is>
      </c>
      <c r="E34" t="inlineStr">
        <is>
          <t>Yes</t>
        </is>
      </c>
      <c r="F34" t="inlineStr">
        <is>
          <t>Drilling Dep</t>
        </is>
      </c>
      <c r="G34" s="5" t="inlineStr">
        <is>
          <t>Aug-25</t>
        </is>
      </c>
      <c r="H34" t="n">
        <v>100</v>
      </c>
      <c r="I34" t="inlineStr">
        <is>
          <t>Issued</t>
        </is>
      </c>
    </row>
    <row r="35">
      <c r="A35" t="inlineStr">
        <is>
          <t>HSE-34</t>
        </is>
      </c>
      <c r="B35" t="inlineStr">
        <is>
          <t>HSE</t>
        </is>
      </c>
      <c r="C35" t="inlineStr">
        <is>
          <t>Safety Standdown Procedure</t>
        </is>
      </c>
      <c r="D35" t="inlineStr">
        <is>
          <t>Department</t>
        </is>
      </c>
      <c r="E35" t="inlineStr">
        <is>
          <t>Yes</t>
        </is>
      </c>
      <c r="F35" t="inlineStr">
        <is>
          <t>Offshore</t>
        </is>
      </c>
      <c r="G35" s="5" t="inlineStr">
        <is>
          <t>Jun-26</t>
        </is>
      </c>
      <c r="H35" t="n">
        <v>100</v>
      </c>
      <c r="I35" t="inlineStr">
        <is>
          <t>Issued</t>
        </is>
      </c>
    </row>
    <row r="36">
      <c r="A36" t="inlineStr">
        <is>
          <t>HSE-35</t>
        </is>
      </c>
      <c r="B36" t="inlineStr">
        <is>
          <t>HSE</t>
        </is>
      </c>
      <c r="C36" t="inlineStr">
        <is>
          <t>Emergency response Procedure for HUB/WHP</t>
        </is>
      </c>
      <c r="D36" t="inlineStr">
        <is>
          <t>Department</t>
        </is>
      </c>
      <c r="E36" t="inlineStr">
        <is>
          <t>No</t>
        </is>
      </c>
      <c r="F36" t="inlineStr">
        <is>
          <t>HSE Onshore</t>
        </is>
      </c>
      <c r="G36" s="5" t="inlineStr">
        <is>
          <t>Apr-27</t>
        </is>
      </c>
      <c r="H36" t="n">
        <v>0</v>
      </c>
      <c r="I36" t="inlineStr">
        <is>
          <t>Bid submission deadline extended to 13 Oct 2026</t>
        </is>
      </c>
    </row>
    <row r="37">
      <c r="A37" t="inlineStr">
        <is>
          <t>HSE-36</t>
        </is>
      </c>
      <c r="B37" t="inlineStr">
        <is>
          <t>HSE</t>
        </is>
      </c>
      <c r="C37" t="inlineStr">
        <is>
          <t>Operating and guideline for Security vessel</t>
        </is>
      </c>
      <c r="D37" t="inlineStr">
        <is>
          <t>Department</t>
        </is>
      </c>
      <c r="E37" t="inlineStr">
        <is>
          <t>Yes</t>
        </is>
      </c>
      <c r="F37" t="inlineStr">
        <is>
          <t>Thanh NN</t>
        </is>
      </c>
      <c r="G37" s="5" t="inlineStr">
        <is>
          <t>Oct-25</t>
        </is>
      </c>
      <c r="H37" t="n">
        <v>100</v>
      </c>
      <c r="I37" t="inlineStr">
        <is>
          <t>Issued</t>
        </is>
      </c>
    </row>
    <row r="38">
      <c r="A38" t="inlineStr">
        <is>
          <t>HSE-37</t>
        </is>
      </c>
      <c r="B38" t="inlineStr">
        <is>
          <t>HSE</t>
        </is>
      </c>
      <c r="C38" t="inlineStr">
        <is>
          <t>Management of Change Procedure</t>
        </is>
      </c>
      <c r="D38" t="inlineStr">
        <is>
          <t>Company</t>
        </is>
      </c>
      <c r="E38" t="inlineStr">
        <is>
          <t>Yes</t>
        </is>
      </c>
      <c r="F38" t="inlineStr">
        <is>
          <t>Ngoc NV</t>
        </is>
      </c>
      <c r="G38" s="5" t="inlineStr">
        <is>
          <t>Dec-25</t>
        </is>
      </c>
      <c r="H38" t="n">
        <v>100</v>
      </c>
      <c r="I38" t="inlineStr">
        <is>
          <t>Issued</t>
        </is>
      </c>
    </row>
    <row r="39">
      <c r="A39" t="inlineStr">
        <is>
          <t>HSE-38</t>
        </is>
      </c>
      <c r="B39" t="inlineStr">
        <is>
          <t>HSE</t>
        </is>
      </c>
      <c r="C39" t="inlineStr">
        <is>
          <t>Emergency response Procedure for CPP complex</t>
        </is>
      </c>
      <c r="D39" t="inlineStr">
        <is>
          <t>Department</t>
        </is>
      </c>
      <c r="E39" t="inlineStr">
        <is>
          <t>No</t>
        </is>
      </c>
      <c r="F39" t="inlineStr">
        <is>
          <t>HSE Onshore</t>
        </is>
      </c>
      <c r="G39" s="5" t="inlineStr">
        <is>
          <t>Apr-27</t>
        </is>
      </c>
      <c r="H39" t="n">
        <v>0</v>
      </c>
      <c r="I39" t="inlineStr">
        <is>
          <t>Bid submission deadline extended to 13 Oct 2026</t>
        </is>
      </c>
    </row>
    <row r="40">
      <c r="A40" t="inlineStr">
        <is>
          <t>HSE-39</t>
        </is>
      </c>
      <c r="B40" t="inlineStr">
        <is>
          <t>HSE</t>
        </is>
      </c>
      <c r="C40" t="inlineStr">
        <is>
          <t>Operation Performance Standard</t>
        </is>
      </c>
      <c r="D40" t="inlineStr">
        <is>
          <t>Department</t>
        </is>
      </c>
      <c r="E40" t="inlineStr">
        <is>
          <t>No</t>
        </is>
      </c>
      <c r="F40" t="inlineStr">
        <is>
          <t>Onshore</t>
        </is>
      </c>
      <c r="G40" s="5" t="inlineStr">
        <is>
          <t>Dec-26</t>
        </is>
      </c>
      <c r="H40" t="n">
        <v>90</v>
      </c>
      <c r="I40" t="inlineStr">
        <is>
          <t>Completed for ECP2; ECP1 in EDMS for review</t>
        </is>
      </c>
    </row>
    <row r="41">
      <c r="A41" t="inlineStr">
        <is>
          <t>HSE-40</t>
        </is>
      </c>
      <c r="B41" t="inlineStr">
        <is>
          <t>HSE</t>
        </is>
      </c>
      <c r="C41" t="inlineStr">
        <is>
          <t>Pressure cylinder management Procedure</t>
        </is>
      </c>
      <c r="D41" t="inlineStr">
        <is>
          <t>Department</t>
        </is>
      </c>
      <c r="E41" t="inlineStr">
        <is>
          <t>Yes</t>
        </is>
      </c>
      <c r="F41" t="inlineStr">
        <is>
          <t>Offshore</t>
        </is>
      </c>
      <c r="G41" s="5" t="inlineStr">
        <is>
          <t>Dec-26</t>
        </is>
      </c>
      <c r="H41" t="n">
        <v>100</v>
      </c>
      <c r="I41" t="inlineStr">
        <is>
          <t>Issued</t>
        </is>
      </c>
    </row>
    <row r="42">
      <c r="A42" t="inlineStr">
        <is>
          <t>GEN-01</t>
        </is>
      </c>
      <c r="B42" t="inlineStr">
        <is>
          <t>General operations</t>
        </is>
      </c>
      <c r="C42" t="inlineStr">
        <is>
          <t>Use and inspection of utility hoses and fittings</t>
        </is>
      </c>
      <c r="D42" t="inlineStr">
        <is>
          <t>Department</t>
        </is>
      </c>
      <c r="E42" t="inlineStr">
        <is>
          <t>Yes</t>
        </is>
      </c>
      <c r="F42" t="inlineStr">
        <is>
          <t>Offshore</t>
        </is>
      </c>
      <c r="G42" s="5" t="inlineStr">
        <is>
          <t>Jun-25</t>
        </is>
      </c>
      <c r="H42" t="n">
        <v>100</v>
      </c>
      <c r="I42" t="inlineStr">
        <is>
          <t>Issued on 13 Feb 25</t>
        </is>
      </c>
    </row>
    <row r="43">
      <c r="A43" t="inlineStr">
        <is>
          <t>GEN-02</t>
        </is>
      </c>
      <c r="B43" t="inlineStr">
        <is>
          <t>General operations</t>
        </is>
      </c>
      <c r="C43" t="inlineStr">
        <is>
          <t>Offshore Crane Operating and Maintenance Guideline</t>
        </is>
      </c>
      <c r="D43" t="inlineStr">
        <is>
          <t>Department</t>
        </is>
      </c>
      <c r="E43" t="inlineStr">
        <is>
          <t>Yes</t>
        </is>
      </c>
      <c r="F43" t="inlineStr">
        <is>
          <t>Offshore</t>
        </is>
      </c>
      <c r="G43" s="5" t="inlineStr">
        <is>
          <t>Jun-25</t>
        </is>
      </c>
      <c r="H43" t="n">
        <v>100</v>
      </c>
      <c r="I43" t="inlineStr">
        <is>
          <t>Issued</t>
        </is>
      </c>
    </row>
    <row r="44">
      <c r="A44" t="inlineStr">
        <is>
          <t>GEN-03</t>
        </is>
      </c>
      <c r="B44" t="inlineStr">
        <is>
          <t>General operations</t>
        </is>
      </c>
      <c r="C44" t="inlineStr">
        <is>
          <t>Mooring Guidelines at PQPOC field</t>
        </is>
      </c>
      <c r="D44" t="inlineStr">
        <is>
          <t>Department</t>
        </is>
      </c>
      <c r="E44" t="inlineStr">
        <is>
          <t>No</t>
        </is>
      </c>
      <c r="F44" t="inlineStr">
        <is>
          <t>NN Thanh</t>
        </is>
      </c>
      <c r="G44" s="5" t="inlineStr">
        <is>
          <t>Dec-26</t>
        </is>
      </c>
      <c r="H44" t="n">
        <v>0</v>
      </c>
      <c r="I44" t="inlineStr">
        <is>
          <t>Waiting for mooring system</t>
        </is>
      </c>
    </row>
    <row r="45">
      <c r="A45" t="inlineStr">
        <is>
          <t>GEN-04</t>
        </is>
      </c>
      <c r="B45" t="inlineStr">
        <is>
          <t>General operations</t>
        </is>
      </c>
      <c r="C45" t="inlineStr">
        <is>
          <t>Fast Rescue Craft (OSV)</t>
        </is>
      </c>
      <c r="D45" t="inlineStr">
        <is>
          <t>Department</t>
        </is>
      </c>
      <c r="E45" t="inlineStr">
        <is>
          <t>Yes</t>
        </is>
      </c>
      <c r="F45" t="inlineStr">
        <is>
          <t>NN Thanh</t>
        </is>
      </c>
      <c r="G45" s="5" t="inlineStr">
        <is>
          <t>Jun-25</t>
        </is>
      </c>
      <c r="H45" t="n">
        <v>100</v>
      </c>
      <c r="I45" t="inlineStr">
        <is>
          <t>In Marine Operations Manual (section 8.13)</t>
        </is>
      </c>
    </row>
    <row r="46">
      <c r="A46" t="inlineStr">
        <is>
          <t>GEN-05</t>
        </is>
      </c>
      <c r="B46" t="inlineStr">
        <is>
          <t>General operations</t>
        </is>
      </c>
      <c r="C46" t="inlineStr">
        <is>
          <t>Portable and Temporary Equipment Procedure</t>
        </is>
      </c>
      <c r="D46" t="inlineStr">
        <is>
          <t>Department</t>
        </is>
      </c>
      <c r="E46" t="inlineStr">
        <is>
          <t>Yes</t>
        </is>
      </c>
      <c r="F46" t="inlineStr">
        <is>
          <t>Offshore</t>
        </is>
      </c>
      <c r="G46" s="5" t="inlineStr">
        <is>
          <t>Jun-25</t>
        </is>
      </c>
      <c r="H46" t="n">
        <v>100</v>
      </c>
      <c r="I46" t="inlineStr">
        <is>
          <t>Issued on 13 Feb 25</t>
        </is>
      </c>
    </row>
    <row r="47">
      <c r="A47" t="inlineStr">
        <is>
          <t>GEN-06</t>
        </is>
      </c>
      <c r="B47" t="inlineStr">
        <is>
          <t>General operations</t>
        </is>
      </c>
      <c r="C47" t="inlineStr">
        <is>
          <t>Safety Standby/Lifting Support Vessel Operations</t>
        </is>
      </c>
      <c r="D47" t="inlineStr">
        <is>
          <t>Department</t>
        </is>
      </c>
      <c r="E47" t="inlineStr">
        <is>
          <t>Yes</t>
        </is>
      </c>
      <c r="F47" t="inlineStr">
        <is>
          <t>NN Thanh</t>
        </is>
      </c>
      <c r="G47" s="5" t="inlineStr">
        <is>
          <t>Jul-25</t>
        </is>
      </c>
      <c r="H47" t="n">
        <v>100</v>
      </c>
      <c r="I47" t="inlineStr">
        <is>
          <t>In Marine Operations Manual (section 8)</t>
        </is>
      </c>
    </row>
    <row r="48">
      <c r="A48" t="inlineStr">
        <is>
          <t>GEN-07</t>
        </is>
      </c>
      <c r="B48" t="inlineStr">
        <is>
          <t>General operations</t>
        </is>
      </c>
      <c r="C48" t="inlineStr">
        <is>
          <t>Handover Guidelines for Personnel at Crew &amp; Shift Changes</t>
        </is>
      </c>
      <c r="D48" t="inlineStr">
        <is>
          <t>Department</t>
        </is>
      </c>
      <c r="E48" t="inlineStr">
        <is>
          <t>Yes</t>
        </is>
      </c>
      <c r="F48" t="inlineStr">
        <is>
          <t>Offshore</t>
        </is>
      </c>
      <c r="G48" s="5" t="inlineStr">
        <is>
          <t>Aug-25</t>
        </is>
      </c>
      <c r="H48" t="n">
        <v>100</v>
      </c>
      <c r="I48" t="inlineStr">
        <is>
          <t>Issued</t>
        </is>
      </c>
    </row>
    <row r="49">
      <c r="A49" t="inlineStr">
        <is>
          <t>GEN-08</t>
        </is>
      </c>
      <c r="B49" t="inlineStr">
        <is>
          <t>General operations</t>
        </is>
      </c>
      <c r="C49" t="inlineStr">
        <is>
          <t>Maintenance, inspection, repair &amp; overhaul of electrical installations in Hazardous Areas</t>
        </is>
      </c>
      <c r="D49" t="inlineStr">
        <is>
          <t>Department</t>
        </is>
      </c>
      <c r="E49" t="inlineStr">
        <is>
          <t>Yes</t>
        </is>
      </c>
      <c r="F49" t="inlineStr">
        <is>
          <t>Anh HT Kiet</t>
        </is>
      </c>
      <c r="G49" s="5" t="inlineStr">
        <is>
          <t>Sep-25</t>
        </is>
      </c>
      <c r="H49" t="n">
        <v>100</v>
      </c>
      <c r="I49" t="inlineStr">
        <is>
          <t>Issued</t>
        </is>
      </c>
    </row>
    <row r="50">
      <c r="A50" t="inlineStr">
        <is>
          <t>GEN-09</t>
        </is>
      </c>
      <c r="B50" t="inlineStr">
        <is>
          <t>General operations</t>
        </is>
      </c>
      <c r="C50" t="inlineStr">
        <is>
          <t>Well Handover Procedure</t>
        </is>
      </c>
      <c r="D50" t="inlineStr">
        <is>
          <t>Department</t>
        </is>
      </c>
      <c r="E50" t="inlineStr">
        <is>
          <t>Yes</t>
        </is>
      </c>
      <c r="F50" t="inlineStr">
        <is>
          <t>DCD</t>
        </is>
      </c>
      <c r="G50" s="5" t="inlineStr">
        <is>
          <t>Sep-25</t>
        </is>
      </c>
      <c r="H50" t="n">
        <v>100</v>
      </c>
    </row>
    <row r="51">
      <c r="A51" t="inlineStr">
        <is>
          <t>GEN-10</t>
        </is>
      </c>
      <c r="B51" t="inlineStr">
        <is>
          <t>General operations</t>
        </is>
      </c>
      <c r="C51" t="inlineStr">
        <is>
          <t>Instrument Calibration Procedure</t>
        </is>
      </c>
      <c r="D51" t="inlineStr">
        <is>
          <t>Department</t>
        </is>
      </c>
      <c r="E51" t="inlineStr">
        <is>
          <t>Yes</t>
        </is>
      </c>
      <c r="F51" t="inlineStr">
        <is>
          <t>Offshore</t>
        </is>
      </c>
      <c r="G51" s="5" t="inlineStr">
        <is>
          <t>Sep-25</t>
        </is>
      </c>
      <c r="H51" t="n">
        <v>100</v>
      </c>
      <c r="I51" t="inlineStr">
        <is>
          <t>Issued</t>
        </is>
      </c>
    </row>
    <row r="52">
      <c r="A52" t="inlineStr">
        <is>
          <t>GEN-11</t>
        </is>
      </c>
      <c r="B52" t="inlineStr">
        <is>
          <t>General operations</t>
        </is>
      </c>
      <c r="C52" t="inlineStr">
        <is>
          <t>Well Integrity Procedure</t>
        </is>
      </c>
      <c r="D52" t="inlineStr">
        <is>
          <t>Department</t>
        </is>
      </c>
      <c r="E52" t="inlineStr">
        <is>
          <t>Yes</t>
        </is>
      </c>
      <c r="F52" t="inlineStr">
        <is>
          <t>DCD</t>
        </is>
      </c>
      <c r="G52" s="5" t="inlineStr">
        <is>
          <t>Sep-25</t>
        </is>
      </c>
      <c r="H52" t="n">
        <v>100</v>
      </c>
      <c r="I52" t="inlineStr">
        <is>
          <t>Issued</t>
        </is>
      </c>
    </row>
    <row r="53">
      <c r="A53" t="inlineStr">
        <is>
          <t>GEN-12</t>
        </is>
      </c>
      <c r="B53" t="inlineStr">
        <is>
          <t>General operations</t>
        </is>
      </c>
      <c r="C53" t="inlineStr">
        <is>
          <t>Errant Vessel Response Procedure</t>
        </is>
      </c>
      <c r="D53" t="inlineStr">
        <is>
          <t>Department</t>
        </is>
      </c>
      <c r="E53" t="inlineStr">
        <is>
          <t>Yes</t>
        </is>
      </c>
      <c r="F53" t="inlineStr">
        <is>
          <t>NN Thanh</t>
        </is>
      </c>
      <c r="G53" s="5" t="inlineStr">
        <is>
          <t>Sep-25</t>
        </is>
      </c>
      <c r="H53" t="n">
        <v>100</v>
      </c>
      <c r="I53" t="inlineStr">
        <is>
          <t>Issued</t>
        </is>
      </c>
    </row>
    <row r="54">
      <c r="A54" t="inlineStr">
        <is>
          <t>GEN-13</t>
        </is>
      </c>
      <c r="B54" t="inlineStr">
        <is>
          <t>General operations</t>
        </is>
      </c>
      <c r="C54" t="inlineStr">
        <is>
          <t>Fuel management and bunkering procedure</t>
        </is>
      </c>
      <c r="D54" t="inlineStr">
        <is>
          <t>Department</t>
        </is>
      </c>
      <c r="E54" t="inlineStr">
        <is>
          <t>No</t>
        </is>
      </c>
      <c r="F54" t="inlineStr">
        <is>
          <t>NN Thanh</t>
        </is>
      </c>
      <c r="G54" s="5" t="inlineStr">
        <is>
          <t>Dec-26</t>
        </is>
      </c>
      <c r="H54" t="n">
        <v>75</v>
      </c>
      <c r="I54" t="inlineStr">
        <is>
          <t>Ongoing</t>
        </is>
      </c>
    </row>
    <row r="55">
      <c r="A55" t="inlineStr">
        <is>
          <t>GEN-14</t>
        </is>
      </c>
      <c r="B55" t="inlineStr">
        <is>
          <t>General operations</t>
        </is>
      </c>
      <c r="C55" t="inlineStr">
        <is>
          <t>Platform Standing Instruction</t>
        </is>
      </c>
      <c r="D55" t="inlineStr">
        <is>
          <t>Department</t>
        </is>
      </c>
      <c r="E55" t="inlineStr">
        <is>
          <t>Yes</t>
        </is>
      </c>
      <c r="F55" t="inlineStr">
        <is>
          <t>Offshore</t>
        </is>
      </c>
      <c r="G55" s="5" t="inlineStr">
        <is>
          <t>Dec-26</t>
        </is>
      </c>
      <c r="H55" t="n">
        <v>100</v>
      </c>
      <c r="I55" t="inlineStr">
        <is>
          <t>Issued on 13 Feb 25</t>
        </is>
      </c>
    </row>
    <row r="56">
      <c r="A56" t="inlineStr">
        <is>
          <t>GEN-15</t>
        </is>
      </c>
      <c r="B56" t="inlineStr">
        <is>
          <t>General operations</t>
        </is>
      </c>
      <c r="C56" t="inlineStr">
        <is>
          <t>Shutdown and start up procedure including field start up</t>
        </is>
      </c>
      <c r="D56" t="inlineStr">
        <is>
          <t>Department</t>
        </is>
      </c>
      <c r="E56" t="inlineStr">
        <is>
          <t>No</t>
        </is>
      </c>
      <c r="F56" t="inlineStr">
        <is>
          <t>Offshore</t>
        </is>
      </c>
      <c r="G56" s="5" t="inlineStr">
        <is>
          <t>Dec-26</t>
        </is>
      </c>
      <c r="H56" t="n">
        <v>60</v>
      </c>
      <c r="I56" t="inlineStr">
        <is>
          <t>Ongoing</t>
        </is>
      </c>
    </row>
    <row r="57">
      <c r="A57" t="inlineStr">
        <is>
          <t>GEN-16</t>
        </is>
      </c>
      <c r="B57" t="inlineStr">
        <is>
          <t>General operations</t>
        </is>
      </c>
      <c r="C57" t="inlineStr">
        <is>
          <t>E&amp;I Tools Re-Certification Procedure</t>
        </is>
      </c>
      <c r="D57" t="inlineStr">
        <is>
          <t>Department</t>
        </is>
      </c>
      <c r="E57" t="inlineStr">
        <is>
          <t>Yes</t>
        </is>
      </c>
      <c r="F57" t="inlineStr">
        <is>
          <t>HT Kiet</t>
        </is>
      </c>
      <c r="G57" s="5" t="inlineStr">
        <is>
          <t>Dec-26</t>
        </is>
      </c>
      <c r="H57" t="n">
        <v>100</v>
      </c>
      <c r="I57" t="inlineStr">
        <is>
          <t>Issued</t>
        </is>
      </c>
    </row>
    <row r="58">
      <c r="A58" t="inlineStr">
        <is>
          <t>GEN-17</t>
        </is>
      </c>
      <c r="B58" t="inlineStr">
        <is>
          <t>General operations</t>
        </is>
      </c>
      <c r="C58" t="inlineStr">
        <is>
          <t>Coating Maintenance &amp; Repair Procedure</t>
        </is>
      </c>
      <c r="D58" t="inlineStr">
        <is>
          <t>Department</t>
        </is>
      </c>
      <c r="E58" t="inlineStr">
        <is>
          <t>Yes</t>
        </is>
      </c>
      <c r="F58" t="inlineStr">
        <is>
          <t>Offshore</t>
        </is>
      </c>
      <c r="G58" s="5" t="inlineStr">
        <is>
          <t>Jan-26</t>
        </is>
      </c>
      <c r="H58" t="n">
        <v>100</v>
      </c>
      <c r="I58" t="inlineStr">
        <is>
          <t>Issued</t>
        </is>
      </c>
    </row>
    <row r="59">
      <c r="A59" t="inlineStr">
        <is>
          <t>GEN-18</t>
        </is>
      </c>
      <c r="B59" t="inlineStr">
        <is>
          <t>General operations</t>
        </is>
      </c>
      <c r="C59" t="inlineStr">
        <is>
          <t>CPP Export Gas Metering procedure</t>
        </is>
      </c>
      <c r="D59" t="inlineStr">
        <is>
          <t>Department</t>
        </is>
      </c>
      <c r="E59" t="inlineStr">
        <is>
          <t>No</t>
        </is>
      </c>
      <c r="F59" t="inlineStr">
        <is>
          <t>Anh HT Kiet + Offshore</t>
        </is>
      </c>
      <c r="G59" s="5" t="inlineStr">
        <is>
          <t>Dec-26</t>
        </is>
      </c>
      <c r="H59" t="n">
        <v>0</v>
      </c>
      <c r="I59" t="inlineStr">
        <is>
          <t>DX lead to work with Biên</t>
        </is>
      </c>
    </row>
    <row r="60">
      <c r="A60" t="inlineStr">
        <is>
          <t>GEN-19</t>
        </is>
      </c>
      <c r="B60" t="inlineStr">
        <is>
          <t>General operations</t>
        </is>
      </c>
      <c r="C60" t="inlineStr">
        <is>
          <t>Controlled Gas Offspec Procedure</t>
        </is>
      </c>
      <c r="D60" t="inlineStr">
        <is>
          <t>Department</t>
        </is>
      </c>
      <c r="E60" t="inlineStr">
        <is>
          <t>No</t>
        </is>
      </c>
      <c r="F60" t="inlineStr">
        <is>
          <t>Offshore + Thuy</t>
        </is>
      </c>
      <c r="G60" s="5" t="inlineStr">
        <is>
          <t>Dec-26</t>
        </is>
      </c>
      <c r="H60" t="n">
        <v>50</v>
      </c>
      <c r="I60" t="inlineStr">
        <is>
          <t>Ongoing</t>
        </is>
      </c>
    </row>
    <row r="61">
      <c r="A61" t="inlineStr">
        <is>
          <t>GEN-20</t>
        </is>
      </c>
      <c r="B61" t="inlineStr">
        <is>
          <t>General operations</t>
        </is>
      </c>
      <c r="C61" t="inlineStr">
        <is>
          <t>Hot bolting procedure</t>
        </is>
      </c>
      <c r="D61" t="inlineStr">
        <is>
          <t>Department</t>
        </is>
      </c>
      <c r="E61" t="inlineStr">
        <is>
          <t>Yes</t>
        </is>
      </c>
      <c r="F61" t="inlineStr">
        <is>
          <t>Offshore</t>
        </is>
      </c>
      <c r="G61" s="5" t="inlineStr">
        <is>
          <t>Jun-26</t>
        </is>
      </c>
      <c r="H61" t="n">
        <v>100</v>
      </c>
      <c r="I61" t="inlineStr">
        <is>
          <t>Issued 27 May 25</t>
        </is>
      </c>
    </row>
    <row r="62">
      <c r="A62" t="inlineStr">
        <is>
          <t>GEN-21</t>
        </is>
      </c>
      <c r="B62" t="inlineStr">
        <is>
          <t>General operations</t>
        </is>
      </c>
      <c r="C62" t="inlineStr">
        <is>
          <t>Housekeeping Guidelines</t>
        </is>
      </c>
      <c r="D62" t="inlineStr">
        <is>
          <t>Department</t>
        </is>
      </c>
      <c r="E62" t="inlineStr">
        <is>
          <t>Yes</t>
        </is>
      </c>
      <c r="F62" t="inlineStr">
        <is>
          <t>Offshore</t>
        </is>
      </c>
      <c r="G62" s="5" t="inlineStr">
        <is>
          <t>Dec-26</t>
        </is>
      </c>
      <c r="H62" t="n">
        <v>100</v>
      </c>
      <c r="I62" t="inlineStr">
        <is>
          <t>Issued on 11 Jan 25</t>
        </is>
      </c>
    </row>
    <row r="63">
      <c r="A63" t="inlineStr">
        <is>
          <t>GEN-22</t>
        </is>
      </c>
      <c r="B63" t="inlineStr">
        <is>
          <t>General operations</t>
        </is>
      </c>
      <c r="C63" t="inlineStr">
        <is>
          <t>Lifeboat Launching Recovery and Stowage</t>
        </is>
      </c>
      <c r="D63" t="inlineStr">
        <is>
          <t>Department</t>
        </is>
      </c>
      <c r="E63" t="inlineStr">
        <is>
          <t>No</t>
        </is>
      </c>
      <c r="F63" t="inlineStr">
        <is>
          <t>NN Thanh</t>
        </is>
      </c>
      <c r="G63" s="5" t="inlineStr">
        <is>
          <t>Dec-26</t>
        </is>
      </c>
      <c r="H63" t="n">
        <v>50</v>
      </c>
      <c r="I63" t="inlineStr">
        <is>
          <t>Waiting for lifeboat manual from vendor</t>
        </is>
      </c>
    </row>
    <row r="64">
      <c r="A64" t="inlineStr">
        <is>
          <t>GEN-23</t>
        </is>
      </c>
      <c r="B64" t="inlineStr">
        <is>
          <t>General operations</t>
        </is>
      </c>
      <c r="C64" t="inlineStr">
        <is>
          <t>Laboratory Operations General</t>
        </is>
      </c>
      <c r="D64" t="inlineStr">
        <is>
          <t>Department</t>
        </is>
      </c>
      <c r="E64" t="inlineStr">
        <is>
          <t>Yes</t>
        </is>
      </c>
      <c r="F64" t="inlineStr">
        <is>
          <t>Thuy + Offshore</t>
        </is>
      </c>
      <c r="G64" s="5" t="inlineStr">
        <is>
          <t>Dec-26</t>
        </is>
      </c>
      <c r="H64" t="n">
        <v>100</v>
      </c>
      <c r="I64" t="inlineStr">
        <is>
          <t>Issued</t>
        </is>
      </c>
    </row>
    <row r="65">
      <c r="A65" t="inlineStr">
        <is>
          <t>GEN-24</t>
        </is>
      </c>
      <c r="B65" t="inlineStr">
        <is>
          <t>General operations</t>
        </is>
      </c>
      <c r="C65" t="inlineStr">
        <is>
          <t>Lab sampling and Testing</t>
        </is>
      </c>
      <c r="D65" t="inlineStr">
        <is>
          <t>Department</t>
        </is>
      </c>
      <c r="E65" t="inlineStr">
        <is>
          <t>No</t>
        </is>
      </c>
      <c r="F65" t="inlineStr">
        <is>
          <t>Thuy + Offshore</t>
        </is>
      </c>
      <c r="G65" s="5" t="inlineStr">
        <is>
          <t>Dec-26</t>
        </is>
      </c>
      <c r="H65" t="n">
        <v>65</v>
      </c>
      <c r="I65" t="inlineStr">
        <is>
          <t>Preparation ongoing</t>
        </is>
      </c>
    </row>
    <row r="66">
      <c r="A66" t="inlineStr">
        <is>
          <t>GEN-25</t>
        </is>
      </c>
      <c r="B66" t="inlineStr">
        <is>
          <t>General operations</t>
        </is>
      </c>
      <c r="C66" t="inlineStr">
        <is>
          <t>Control Override / Bypass / Suppression Management</t>
        </is>
      </c>
      <c r="D66" t="inlineStr">
        <is>
          <t>Department</t>
        </is>
      </c>
      <c r="E66" t="inlineStr">
        <is>
          <t>Yes</t>
        </is>
      </c>
      <c r="F66" t="inlineStr">
        <is>
          <t>HT Kiet + Offshore</t>
        </is>
      </c>
      <c r="G66" s="5" t="inlineStr">
        <is>
          <t>Dec-26</t>
        </is>
      </c>
      <c r="H66" t="n">
        <v>100</v>
      </c>
      <c r="I66" t="inlineStr">
        <is>
          <t>On E-office</t>
        </is>
      </c>
    </row>
    <row r="67">
      <c r="A67" t="inlineStr">
        <is>
          <t>GEN-26</t>
        </is>
      </c>
      <c r="B67" t="inlineStr">
        <is>
          <t>General operations</t>
        </is>
      </c>
      <c r="C67" t="inlineStr">
        <is>
          <t>Alarm &amp; Trip Setting Procedure</t>
        </is>
      </c>
      <c r="D67" t="inlineStr">
        <is>
          <t>Department</t>
        </is>
      </c>
      <c r="E67" t="inlineStr">
        <is>
          <t>Yes</t>
        </is>
      </c>
      <c r="F67" t="inlineStr">
        <is>
          <t>HT Kiet + Thuy</t>
        </is>
      </c>
      <c r="G67" s="5" t="inlineStr">
        <is>
          <t>Dec-26</t>
        </is>
      </c>
      <c r="H67" t="n">
        <v>100</v>
      </c>
      <c r="I67" t="inlineStr">
        <is>
          <t>Issued</t>
        </is>
      </c>
    </row>
    <row r="68">
      <c r="A68" t="inlineStr">
        <is>
          <t>GEN-27</t>
        </is>
      </c>
      <c r="B68" t="inlineStr">
        <is>
          <t>General operations</t>
        </is>
      </c>
      <c r="C68" t="inlineStr">
        <is>
          <t>Pigging and batch pigging procedure</t>
        </is>
      </c>
      <c r="D68" t="inlineStr">
        <is>
          <t>Department</t>
        </is>
      </c>
      <c r="E68" t="inlineStr">
        <is>
          <t>No</t>
        </is>
      </c>
      <c r="F68" t="inlineStr">
        <is>
          <t>Guy NT</t>
        </is>
      </c>
      <c r="G68" s="5" t="inlineStr">
        <is>
          <t>Dec-27</t>
        </is>
      </c>
      <c r="H68" t="n">
        <v>0</v>
      </c>
      <c r="I68" t="inlineStr">
        <is>
          <t>Discussing with potential vendors (Rosen, TDWilliamson, …)</t>
        </is>
      </c>
    </row>
    <row r="69">
      <c r="A69" t="inlineStr">
        <is>
          <t>GEN-28</t>
        </is>
      </c>
      <c r="B69" t="inlineStr">
        <is>
          <t>General operations</t>
        </is>
      </c>
      <c r="C69" t="inlineStr">
        <is>
          <t>Pressure Safety Valve Testing and Recertification</t>
        </is>
      </c>
      <c r="D69" t="inlineStr">
        <is>
          <t>Department</t>
        </is>
      </c>
      <c r="E69" t="inlineStr">
        <is>
          <t>Yes</t>
        </is>
      </c>
      <c r="F69" t="inlineStr">
        <is>
          <t>TN Nguyen</t>
        </is>
      </c>
      <c r="G69" s="5" t="inlineStr">
        <is>
          <t>Jan-27</t>
        </is>
      </c>
      <c r="H69" t="n">
        <v>100</v>
      </c>
      <c r="I69" t="inlineStr">
        <is>
          <t>Issued</t>
        </is>
      </c>
    </row>
    <row r="70">
      <c r="A70" t="inlineStr">
        <is>
          <t>GEN-29</t>
        </is>
      </c>
      <c r="B70" t="inlineStr">
        <is>
          <t>General operations</t>
        </is>
      </c>
      <c r="C70" t="inlineStr">
        <is>
          <t>E&amp;I CFT</t>
        </is>
      </c>
      <c r="D70" t="inlineStr">
        <is>
          <t>Department</t>
        </is>
      </c>
      <c r="E70" t="inlineStr">
        <is>
          <t>Yes</t>
        </is>
      </c>
      <c r="F70" t="inlineStr">
        <is>
          <t>E&amp;I Sup</t>
        </is>
      </c>
      <c r="G70" s="5" t="inlineStr">
        <is>
          <t>Jan-27</t>
        </is>
      </c>
      <c r="H70" t="n">
        <v>100</v>
      </c>
      <c r="I70" t="inlineStr">
        <is>
          <t>Issued</t>
        </is>
      </c>
    </row>
    <row r="71">
      <c r="A71" t="inlineStr">
        <is>
          <t>GEN-30</t>
        </is>
      </c>
      <c r="B71" t="inlineStr">
        <is>
          <t>General operations</t>
        </is>
      </c>
      <c r="C71" t="inlineStr">
        <is>
          <t>WH CFT</t>
        </is>
      </c>
      <c r="D71" t="inlineStr">
        <is>
          <t>Department</t>
        </is>
      </c>
      <c r="E71" t="inlineStr">
        <is>
          <t>No</t>
        </is>
      </c>
      <c r="F71" t="inlineStr">
        <is>
          <t>WH Sup</t>
        </is>
      </c>
      <c r="G71" s="5" t="inlineStr">
        <is>
          <t>Jan-27</t>
        </is>
      </c>
      <c r="H71" t="n">
        <v>75</v>
      </c>
      <c r="I71" t="inlineStr">
        <is>
          <t>Reviewing</t>
        </is>
      </c>
    </row>
    <row r="72">
      <c r="A72" t="inlineStr">
        <is>
          <t>GEN-31</t>
        </is>
      </c>
      <c r="B72" t="inlineStr">
        <is>
          <t>General operations</t>
        </is>
      </c>
      <c r="C72" t="inlineStr">
        <is>
          <t>P&amp;P Critical Function Testing</t>
        </is>
      </c>
      <c r="D72" t="inlineStr">
        <is>
          <t>Department</t>
        </is>
      </c>
      <c r="E72" t="inlineStr">
        <is>
          <t>No</t>
        </is>
      </c>
      <c r="F72" t="inlineStr">
        <is>
          <t>Offshore</t>
        </is>
      </c>
      <c r="G72" s="5" t="inlineStr">
        <is>
          <t>Jan-27</t>
        </is>
      </c>
      <c r="H72" t="n">
        <v>75</v>
      </c>
      <c r="I72" t="inlineStr">
        <is>
          <t>Reviewing</t>
        </is>
      </c>
    </row>
    <row r="73">
      <c r="G73" s="5" t="n"/>
    </row>
    <row r="74">
      <c r="G74" s="5" t="n"/>
    </row>
    <row r="75">
      <c r="G75" s="5" t="n"/>
    </row>
    <row r="76">
      <c r="G76" s="5" t="n"/>
    </row>
    <row r="77">
      <c r="G77" s="5" t="n"/>
    </row>
    <row r="78">
      <c r="G78" s="5" t="n"/>
    </row>
    <row r="79">
      <c r="G79" s="5" t="n"/>
    </row>
    <row r="80">
      <c r="G80" s="5" t="n"/>
    </row>
    <row r="81">
      <c r="G81" s="5" t="n"/>
    </row>
    <row r="82">
      <c r="G82" s="5" t="n"/>
    </row>
    <row r="83">
      <c r="G83" s="5" t="n"/>
    </row>
    <row r="84">
      <c r="G84" s="5" t="n"/>
    </row>
    <row r="85">
      <c r="G85" s="5" t="n"/>
    </row>
    <row r="86">
      <c r="G86" s="5" t="n"/>
    </row>
    <row r="87">
      <c r="G87" s="5" t="n"/>
    </row>
    <row r="88">
      <c r="G88" s="5" t="n"/>
    </row>
    <row r="89">
      <c r="G89" s="5" t="n"/>
    </row>
    <row r="90">
      <c r="G90" s="5" t="n"/>
    </row>
    <row r="91">
      <c r="G91" s="5" t="n"/>
    </row>
    <row r="92">
      <c r="G92" s="5" t="n"/>
    </row>
    <row r="93">
      <c r="G93" s="5" t="n"/>
    </row>
    <row r="94">
      <c r="G94" s="5" t="n"/>
    </row>
    <row r="95">
      <c r="G95" s="5" t="n"/>
    </row>
    <row r="96">
      <c r="G96" s="5" t="n"/>
    </row>
    <row r="97">
      <c r="G97" s="5" t="n"/>
    </row>
    <row r="98">
      <c r="G98" s="5" t="n"/>
    </row>
    <row r="99">
      <c r="G99" s="5" t="n"/>
    </row>
    <row r="100">
      <c r="G100" s="5" t="n"/>
    </row>
    <row r="101">
      <c r="G101" s="5" t="n"/>
    </row>
    <row r="102">
      <c r="G102" s="5" t="n"/>
    </row>
    <row r="103">
      <c r="G103" s="5" t="n"/>
    </row>
    <row r="104">
      <c r="G104" s="5" t="n"/>
    </row>
    <row r="105">
      <c r="G105" s="5" t="n"/>
    </row>
    <row r="106">
      <c r="G106" s="5" t="n"/>
    </row>
    <row r="107">
      <c r="G107" s="5" t="n"/>
    </row>
    <row r="108">
      <c r="G108" s="5" t="n"/>
    </row>
    <row r="109">
      <c r="G109" s="5" t="n"/>
    </row>
    <row r="110">
      <c r="G110" s="5" t="n"/>
    </row>
    <row r="111">
      <c r="G111" s="5" t="n"/>
    </row>
    <row r="112">
      <c r="G112" s="5" t="n"/>
    </row>
    <row r="113">
      <c r="G113" s="5" t="n"/>
    </row>
    <row r="114">
      <c r="G114" s="5" t="n"/>
    </row>
    <row r="115">
      <c r="G115" s="5" t="n"/>
    </row>
    <row r="116">
      <c r="G116" s="5" t="n"/>
    </row>
    <row r="117">
      <c r="G117" s="5" t="n"/>
    </row>
    <row r="118">
      <c r="G118" s="5" t="n"/>
    </row>
    <row r="119">
      <c r="G119" s="5" t="n"/>
    </row>
    <row r="120">
      <c r="G120" s="5" t="n"/>
    </row>
    <row r="121">
      <c r="G121" s="5" t="n"/>
    </row>
    <row r="122">
      <c r="G122" s="5" t="n"/>
    </row>
    <row r="123">
      <c r="G123" s="5" t="n"/>
    </row>
    <row r="124">
      <c r="G124" s="5" t="n"/>
    </row>
    <row r="125">
      <c r="G125" s="5" t="n"/>
    </row>
    <row r="126">
      <c r="G126" s="5" t="n"/>
    </row>
    <row r="127">
      <c r="G127" s="5" t="n"/>
    </row>
    <row r="128">
      <c r="G128" s="5" t="n"/>
    </row>
    <row r="129">
      <c r="G129" s="5" t="n"/>
    </row>
    <row r="130">
      <c r="G130" s="5" t="n"/>
    </row>
    <row r="131">
      <c r="G131" s="5" t="n"/>
    </row>
    <row r="132">
      <c r="G132" s="5" t="n"/>
    </row>
    <row r="133">
      <c r="G133" s="5" t="n"/>
    </row>
    <row r="134">
      <c r="G134" s="5" t="n"/>
    </row>
    <row r="135">
      <c r="G135" s="5" t="n"/>
    </row>
    <row r="136">
      <c r="G136" s="5" t="n"/>
    </row>
    <row r="137">
      <c r="G137" s="5" t="n"/>
    </row>
    <row r="138">
      <c r="G138" s="5" t="n"/>
    </row>
    <row r="139">
      <c r="G139" s="5" t="n"/>
    </row>
    <row r="140">
      <c r="G140" s="5" t="n"/>
    </row>
    <row r="141">
      <c r="G141" s="5" t="n"/>
    </row>
    <row r="142">
      <c r="G142" s="5" t="n"/>
    </row>
    <row r="143">
      <c r="G143" s="5" t="n"/>
    </row>
    <row r="144">
      <c r="G144" s="5" t="n"/>
    </row>
    <row r="145">
      <c r="G145" s="5" t="n"/>
    </row>
    <row r="146">
      <c r="G146" s="5" t="n"/>
    </row>
    <row r="147">
      <c r="G147" s="5" t="n"/>
    </row>
    <row r="148">
      <c r="G148" s="5" t="n"/>
    </row>
    <row r="149">
      <c r="G149" s="5" t="n"/>
    </row>
    <row r="150">
      <c r="G150" s="5" t="n"/>
    </row>
    <row r="151">
      <c r="G151" s="5" t="n"/>
    </row>
    <row r="152">
      <c r="G152" s="5" t="n"/>
    </row>
    <row r="153">
      <c r="G153" s="5" t="n"/>
    </row>
    <row r="154">
      <c r="G154" s="5" t="n"/>
    </row>
    <row r="155">
      <c r="G155" s="5" t="n"/>
    </row>
    <row r="156">
      <c r="G156" s="5" t="n"/>
    </row>
    <row r="157">
      <c r="G157" s="5" t="n"/>
    </row>
    <row r="158">
      <c r="G158" s="5" t="n"/>
    </row>
    <row r="159">
      <c r="G159" s="5" t="n"/>
    </row>
    <row r="160">
      <c r="G160" s="5" t="n"/>
    </row>
    <row r="161">
      <c r="G161" s="5" t="n"/>
    </row>
    <row r="162">
      <c r="G162" s="5" t="n"/>
    </row>
    <row r="163">
      <c r="G163" s="5" t="n"/>
    </row>
    <row r="164">
      <c r="G164" s="5" t="n"/>
    </row>
    <row r="165">
      <c r="G165" s="5" t="n"/>
    </row>
    <row r="166">
      <c r="G166" s="5" t="n"/>
    </row>
    <row r="167">
      <c r="G167" s="5" t="n"/>
    </row>
    <row r="168">
      <c r="G168" s="5" t="n"/>
    </row>
    <row r="169">
      <c r="G169" s="5" t="n"/>
    </row>
    <row r="170">
      <c r="G170" s="5" t="n"/>
    </row>
    <row r="171">
      <c r="G171" s="5" t="n"/>
    </row>
    <row r="172">
      <c r="G172" s="5" t="n"/>
    </row>
    <row r="173">
      <c r="G173" s="5" t="n"/>
    </row>
    <row r="174">
      <c r="G174" s="5" t="n"/>
    </row>
    <row r="175">
      <c r="G175" s="5" t="n"/>
    </row>
    <row r="176">
      <c r="G176" s="5" t="n"/>
    </row>
    <row r="177">
      <c r="G177" s="5" t="n"/>
    </row>
    <row r="178">
      <c r="G178" s="5" t="n"/>
    </row>
    <row r="179">
      <c r="G179" s="5" t="n"/>
    </row>
    <row r="180">
      <c r="G180" s="5" t="n"/>
    </row>
    <row r="181">
      <c r="G181" s="5" t="n"/>
    </row>
    <row r="182">
      <c r="G182" s="5" t="n"/>
    </row>
    <row r="183">
      <c r="G183" s="5" t="n"/>
    </row>
    <row r="184">
      <c r="G184" s="5" t="n"/>
    </row>
    <row r="185">
      <c r="G185" s="5" t="n"/>
    </row>
    <row r="186">
      <c r="G186" s="5" t="n"/>
    </row>
    <row r="187">
      <c r="G187" s="5" t="n"/>
    </row>
    <row r="188">
      <c r="G188" s="5" t="n"/>
    </row>
    <row r="189">
      <c r="G189" s="5" t="n"/>
    </row>
    <row r="190">
      <c r="G190" s="5" t="n"/>
    </row>
    <row r="191">
      <c r="G191" s="5" t="n"/>
    </row>
    <row r="192">
      <c r="G192" s="5" t="n"/>
    </row>
    <row r="193">
      <c r="G193" s="5" t="n"/>
    </row>
    <row r="194">
      <c r="G194" s="5" t="n"/>
    </row>
    <row r="195">
      <c r="G195" s="5" t="n"/>
    </row>
    <row r="196">
      <c r="G196" s="5" t="n"/>
    </row>
    <row r="197">
      <c r="G197" s="5" t="n"/>
    </row>
    <row r="198">
      <c r="G198" s="5" t="n"/>
    </row>
    <row r="199">
      <c r="G199" s="5" t="n"/>
    </row>
    <row r="200">
      <c r="G200" s="5" t="n"/>
    </row>
    <row r="201">
      <c r="G201" s="5" t="n"/>
    </row>
    <row r="202">
      <c r="G202" s="5" t="n"/>
    </row>
    <row r="203">
      <c r="G203" s="5" t="n"/>
    </row>
    <row r="204">
      <c r="G204" s="5" t="n"/>
    </row>
    <row r="205">
      <c r="G205" s="5" t="n"/>
    </row>
    <row r="206">
      <c r="G206" s="5" t="n"/>
    </row>
    <row r="207">
      <c r="G207" s="5" t="n"/>
    </row>
    <row r="208">
      <c r="G208" s="5" t="n"/>
    </row>
    <row r="209">
      <c r="G209" s="5" t="n"/>
    </row>
    <row r="210">
      <c r="G210" s="5" t="n"/>
    </row>
    <row r="211">
      <c r="G211" s="5" t="n"/>
    </row>
    <row r="212">
      <c r="G212" s="5" t="n"/>
    </row>
    <row r="213">
      <c r="G213" s="5" t="n"/>
    </row>
    <row r="214">
      <c r="G214" s="5" t="n"/>
    </row>
    <row r="215">
      <c r="G215" s="5" t="n"/>
    </row>
    <row r="216">
      <c r="G216" s="5" t="n"/>
    </row>
    <row r="217">
      <c r="G217" s="5" t="n"/>
    </row>
    <row r="218">
      <c r="G218" s="5" t="n"/>
    </row>
    <row r="219">
      <c r="G219" s="5" t="n"/>
    </row>
    <row r="220">
      <c r="G220" s="5" t="n"/>
    </row>
    <row r="221">
      <c r="G221" s="5" t="n"/>
    </row>
    <row r="222">
      <c r="G222" s="5" t="n"/>
    </row>
    <row r="223">
      <c r="G223" s="5" t="n"/>
    </row>
    <row r="224">
      <c r="G224" s="5" t="n"/>
    </row>
    <row r="225">
      <c r="G225" s="5" t="n"/>
    </row>
    <row r="226">
      <c r="G226" s="5" t="n"/>
    </row>
    <row r="227">
      <c r="G227" s="5" t="n"/>
    </row>
    <row r="228">
      <c r="G228" s="5" t="n"/>
    </row>
    <row r="229">
      <c r="G229" s="5" t="n"/>
    </row>
    <row r="230">
      <c r="G230" s="5" t="n"/>
    </row>
    <row r="231">
      <c r="G231" s="5" t="n"/>
    </row>
    <row r="232">
      <c r="G232" s="5" t="n"/>
    </row>
    <row r="233">
      <c r="G233" s="5" t="n"/>
    </row>
    <row r="234">
      <c r="G234" s="5" t="n"/>
    </row>
    <row r="235">
      <c r="G235" s="5" t="n"/>
    </row>
    <row r="236">
      <c r="G236" s="5" t="n"/>
    </row>
    <row r="237">
      <c r="G237" s="5" t="n"/>
    </row>
    <row r="238">
      <c r="G238" s="5" t="n"/>
    </row>
    <row r="239">
      <c r="G239" s="5" t="n"/>
    </row>
    <row r="240">
      <c r="G240" s="5" t="n"/>
    </row>
    <row r="241">
      <c r="G241" s="5" t="n"/>
    </row>
    <row r="242">
      <c r="G242" s="5" t="n"/>
    </row>
    <row r="243">
      <c r="G243" s="5" t="n"/>
    </row>
    <row r="244">
      <c r="G244" s="5" t="n"/>
    </row>
    <row r="245">
      <c r="G245" s="5" t="n"/>
    </row>
    <row r="246">
      <c r="G246" s="5" t="n"/>
    </row>
    <row r="247">
      <c r="G247" s="5" t="n"/>
    </row>
    <row r="248">
      <c r="G248" s="5" t="n"/>
    </row>
    <row r="249">
      <c r="G249" s="5" t="n"/>
    </row>
    <row r="250">
      <c r="G250" s="5" t="n"/>
    </row>
    <row r="251">
      <c r="G251" s="5" t="n"/>
    </row>
    <row r="252">
      <c r="G252" s="5" t="n"/>
    </row>
    <row r="253">
      <c r="G253" s="5" t="n"/>
    </row>
    <row r="254">
      <c r="G254" s="5" t="n"/>
    </row>
    <row r="255">
      <c r="G255" s="5" t="n"/>
    </row>
    <row r="256">
      <c r="G256" s="5" t="n"/>
    </row>
    <row r="257">
      <c r="G257" s="5" t="n"/>
    </row>
    <row r="258">
      <c r="G258" s="5" t="n"/>
    </row>
    <row r="259">
      <c r="G259" s="5" t="n"/>
    </row>
    <row r="260">
      <c r="G260" s="5" t="n"/>
    </row>
    <row r="261">
      <c r="G261" s="5" t="n"/>
    </row>
    <row r="262">
      <c r="G262" s="5" t="n"/>
    </row>
    <row r="263">
      <c r="G263" s="5" t="n"/>
    </row>
    <row r="264">
      <c r="G264" s="5" t="n"/>
    </row>
    <row r="265">
      <c r="G265" s="5" t="n"/>
    </row>
    <row r="266">
      <c r="G266" s="5" t="n"/>
    </row>
    <row r="267">
      <c r="G267" s="5" t="n"/>
    </row>
    <row r="268">
      <c r="G268" s="5" t="n"/>
    </row>
    <row r="269">
      <c r="G269" s="5" t="n"/>
    </row>
    <row r="270">
      <c r="G270" s="5" t="n"/>
    </row>
    <row r="271">
      <c r="G271" s="5" t="n"/>
    </row>
    <row r="272">
      <c r="G272" s="5" t="n"/>
    </row>
  </sheetData>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C10"/>
  <sheetViews>
    <sheetView tabSelected="0" workbookViewId="0">
      <pane ySplit="1" topLeftCell="A2" activePane="bottomLeft" state="frozen"/>
      <selection pane="bottomLeft" activeCell="A1" sqref="A1"/>
    </sheetView>
  </sheetViews>
  <sheetFormatPr baseColWidth="8" defaultRowHeight="15"/>
  <cols>
    <col width="12" customWidth="1" min="1" max="1"/>
    <col width="12" customWidth="1" min="2" max="2"/>
    <col width="10" customWidth="1" min="3" max="3"/>
  </cols>
  <sheetData>
    <row r="1">
      <c r="A1" t="inlineStr">
        <is>
          <t>dimension</t>
        </is>
      </c>
      <c r="B1" t="inlineStr">
        <is>
          <t>category</t>
        </is>
      </c>
      <c r="C1" t="inlineStr">
        <is>
          <t>count</t>
        </is>
      </c>
    </row>
    <row r="2">
      <c r="A2" t="inlineStr">
        <is>
          <t>status</t>
        </is>
      </c>
      <c r="B2" t="inlineStr">
        <is>
          <t>Open</t>
        </is>
      </c>
      <c r="C2" t="n">
        <v>19</v>
      </c>
    </row>
    <row r="3">
      <c r="A3" t="inlineStr">
        <is>
          <t>status</t>
        </is>
      </c>
      <c r="B3" t="inlineStr">
        <is>
          <t>PR Request</t>
        </is>
      </c>
      <c r="C3" t="n">
        <v>7</v>
      </c>
    </row>
    <row r="4">
      <c r="A4" t="inlineStr">
        <is>
          <t>status</t>
        </is>
      </c>
      <c r="B4" t="inlineStr">
        <is>
          <t>Screening</t>
        </is>
      </c>
      <c r="C4" t="n">
        <v>7</v>
      </c>
    </row>
    <row r="5">
      <c r="A5" t="inlineStr">
        <is>
          <t>priority</t>
        </is>
      </c>
      <c r="B5" t="inlineStr">
        <is>
          <t>Priority 1</t>
        </is>
      </c>
      <c r="C5" t="n">
        <v>3</v>
      </c>
    </row>
    <row r="6">
      <c r="A6" t="inlineStr">
        <is>
          <t>priority</t>
        </is>
      </c>
      <c r="B6" t="inlineStr">
        <is>
          <t>Priority 2</t>
        </is>
      </c>
      <c r="C6" t="n">
        <v>8</v>
      </c>
    </row>
    <row r="7">
      <c r="A7" t="inlineStr">
        <is>
          <t>priority</t>
        </is>
      </c>
      <c r="B7" t="inlineStr">
        <is>
          <t>Priority 3</t>
        </is>
      </c>
      <c r="C7" t="n">
        <v>15</v>
      </c>
    </row>
    <row r="8">
      <c r="A8" t="inlineStr">
        <is>
          <t>scr_timing</t>
        </is>
      </c>
      <c r="B8" t="inlineStr">
        <is>
          <t>This month</t>
        </is>
      </c>
      <c r="C8" t="n">
        <v>1</v>
      </c>
    </row>
    <row r="9">
      <c r="A9" t="inlineStr">
        <is>
          <t>scr_timing</t>
        </is>
      </c>
      <c r="B9" t="inlineStr">
        <is>
          <t>Next month</t>
        </is>
      </c>
      <c r="C9" t="n">
        <v>2</v>
      </c>
    </row>
    <row r="10">
      <c r="A10" t="inlineStr">
        <is>
          <t>scr_timing</t>
        </is>
      </c>
      <c r="B10" t="inlineStr">
        <is>
          <t>Not set</t>
        </is>
      </c>
      <c r="C10" t="n">
        <v>16</v>
      </c>
    </row>
  </sheetData>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C11"/>
  <sheetViews>
    <sheetView tabSelected="0" workbookViewId="0">
      <pane ySplit="1" topLeftCell="A2" activePane="bottomLeft" state="frozen"/>
      <selection pane="bottomLeft" activeCell="A1" sqref="A1"/>
    </sheetView>
  </sheetViews>
  <sheetFormatPr baseColWidth="8" defaultRowHeight="15"/>
  <cols>
    <col width="20" customWidth="1" min="1" max="1"/>
    <col width="11" customWidth="1" min="2" max="2"/>
    <col width="10" customWidth="1" min="3" max="3"/>
  </cols>
  <sheetData>
    <row r="1">
      <c r="A1" t="inlineStr">
        <is>
          <t>stage</t>
        </is>
      </c>
      <c r="B1" t="inlineStr">
        <is>
          <t>status</t>
        </is>
      </c>
      <c r="C1" t="inlineStr">
        <is>
          <t>count</t>
        </is>
      </c>
    </row>
    <row r="2">
      <c r="A2" t="inlineStr">
        <is>
          <t>1 CSP Preparation</t>
        </is>
      </c>
      <c r="B2" t="inlineStr">
        <is>
          <t>Near-late</t>
        </is>
      </c>
      <c r="C2" t="n">
        <v>1</v>
      </c>
    </row>
    <row r="3">
      <c r="A3" t="inlineStr">
        <is>
          <t>1 CSP Preparation</t>
        </is>
      </c>
      <c r="B3" t="inlineStr">
        <is>
          <t>On time</t>
        </is>
      </c>
      <c r="C3" t="n">
        <v>1</v>
      </c>
    </row>
    <row r="4">
      <c r="A4" t="inlineStr">
        <is>
          <t>2 CSP Approval</t>
        </is>
      </c>
      <c r="B4" t="inlineStr">
        <is>
          <t>Late</t>
        </is>
      </c>
      <c r="C4" t="n">
        <v>1</v>
      </c>
    </row>
    <row r="5">
      <c r="A5" t="inlineStr">
        <is>
          <t>2 CSP Approval</t>
        </is>
      </c>
      <c r="B5" t="inlineStr">
        <is>
          <t>On time</t>
        </is>
      </c>
      <c r="C5" t="n">
        <v>1</v>
      </c>
    </row>
    <row r="6">
      <c r="A6" t="inlineStr">
        <is>
          <t>3 Bidding</t>
        </is>
      </c>
      <c r="B6" t="inlineStr">
        <is>
          <t>Near-late</t>
        </is>
      </c>
      <c r="C6" t="n">
        <v>1</v>
      </c>
    </row>
    <row r="7">
      <c r="A7" t="inlineStr">
        <is>
          <t>3 Bidding</t>
        </is>
      </c>
      <c r="B7" t="inlineStr">
        <is>
          <t>On time</t>
        </is>
      </c>
      <c r="C7" t="n">
        <v>1</v>
      </c>
    </row>
    <row r="8">
      <c r="A8" t="inlineStr">
        <is>
          <t>4 Evaluation</t>
        </is>
      </c>
      <c r="B8" t="inlineStr">
        <is>
          <t>Late</t>
        </is>
      </c>
      <c r="C8" t="n">
        <v>1</v>
      </c>
    </row>
    <row r="9">
      <c r="A9" t="inlineStr">
        <is>
          <t>4 Evaluation</t>
        </is>
      </c>
      <c r="B9" t="inlineStr">
        <is>
          <t>On time</t>
        </is>
      </c>
      <c r="C9" t="n">
        <v>2</v>
      </c>
    </row>
    <row r="10">
      <c r="A10" t="inlineStr">
        <is>
          <t>5 TCEAR Approval</t>
        </is>
      </c>
      <c r="B10" t="inlineStr">
        <is>
          <t>Late</t>
        </is>
      </c>
      <c r="C10" t="n">
        <v>1</v>
      </c>
    </row>
    <row r="11">
      <c r="A11" t="inlineStr">
        <is>
          <t>6 Contract Signing</t>
        </is>
      </c>
      <c r="B11" t="inlineStr">
        <is>
          <t>On time</t>
        </is>
      </c>
      <c r="C11" t="n">
        <v>1</v>
      </c>
    </row>
  </sheetData>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C3"/>
  <sheetViews>
    <sheetView tabSelected="0"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s>
  <sheetData>
    <row r="1">
      <c r="A1" t="inlineStr">
        <is>
          <t>package</t>
        </is>
      </c>
      <c r="B1" t="inlineStr">
        <is>
          <t>actual_pct</t>
        </is>
      </c>
      <c r="C1" t="inlineStr">
        <is>
          <t>plan_pct</t>
        </is>
      </c>
    </row>
    <row r="2">
      <c r="A2" t="inlineStr">
        <is>
          <t>EPCI#2</t>
        </is>
      </c>
      <c r="B2" t="n">
        <v>82.11</v>
      </c>
      <c r="C2" t="n">
        <v>85</v>
      </c>
    </row>
    <row r="3">
      <c r="A3" t="inlineStr">
        <is>
          <t>EPCI#1</t>
        </is>
      </c>
      <c r="B3" t="n">
        <v>41.58</v>
      </c>
      <c r="C3" t="n">
        <v>42.3</v>
      </c>
    </row>
  </sheetData>
  <pageMargins left="0.75" right="0.75" top="1" bottom="1" header="0.5" footer="0.5"/>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C18"/>
  <sheetViews>
    <sheetView tabSelected="0" workbookViewId="0">
      <pane ySplit="1" topLeftCell="A2" activePane="bottomLeft" state="frozen"/>
      <selection pane="bottomLeft" activeCell="A1" sqref="A1"/>
    </sheetView>
  </sheetViews>
  <sheetFormatPr baseColWidth="8" defaultRowHeight="15"/>
  <cols>
    <col width="22" customWidth="1" min="1" max="1"/>
    <col width="35" customWidth="1" min="2" max="2"/>
    <col width="60" customWidth="1" min="3" max="3"/>
  </cols>
  <sheetData>
    <row r="1">
      <c r="A1" t="inlineStr">
        <is>
          <t>area</t>
        </is>
      </c>
      <c r="B1" t="inlineStr">
        <is>
          <t>item</t>
        </is>
      </c>
      <c r="C1" t="inlineStr">
        <is>
          <t>status</t>
        </is>
      </c>
    </row>
    <row r="2">
      <c r="A2" t="inlineStr">
        <is>
          <t>Manpower</t>
        </is>
      </c>
      <c r="B2" t="inlineStr">
        <is>
          <t>Vacant positions</t>
        </is>
      </c>
      <c r="C2" t="inlineStr">
        <is>
          <t>Document Control, OIM, HSE, FSO</t>
        </is>
      </c>
    </row>
    <row r="3">
      <c r="A3" t="inlineStr">
        <is>
          <t>Applications</t>
        </is>
      </c>
      <c r="B3" t="inlineStr">
        <is>
          <t>PDMS</t>
        </is>
      </c>
      <c r="C3" t="inlineStr">
        <is>
          <t>Technical evaluation</t>
        </is>
      </c>
    </row>
    <row r="4">
      <c r="A4" t="inlineStr">
        <is>
          <t>Applications</t>
        </is>
      </c>
      <c r="B4" t="inlineStr">
        <is>
          <t>AIMS</t>
        </is>
      </c>
      <c r="C4" t="inlineStr">
        <is>
          <t>TCEAR</t>
        </is>
      </c>
    </row>
    <row r="5">
      <c r="A5" t="inlineStr">
        <is>
          <t>Applications</t>
        </is>
      </c>
      <c r="B5" t="inlineStr">
        <is>
          <t>OSCC</t>
        </is>
      </c>
      <c r="C5" t="inlineStr">
        <is>
          <t>ITB</t>
        </is>
      </c>
    </row>
    <row r="6">
      <c r="A6" t="inlineStr">
        <is>
          <t>Applications</t>
        </is>
      </c>
      <c r="B6" t="inlineStr">
        <is>
          <t>HRIS</t>
        </is>
      </c>
      <c r="C6" t="inlineStr">
        <is>
          <t>Platform built (production launch); preparing test and data population</t>
        </is>
      </c>
    </row>
    <row r="7">
      <c r="A7" t="inlineStr">
        <is>
          <t>Applications</t>
        </is>
      </c>
      <c r="B7" t="inlineStr">
        <is>
          <t>EAM/SAP</t>
        </is>
      </c>
      <c r="C7" t="inlineStr">
        <is>
          <t>Training and UAT phase 2 completed (Plant maintenance, Inventory &amp; Warehouse); preparing phase 3 kick-off (KPI, reports)</t>
        </is>
      </c>
    </row>
    <row r="8">
      <c r="A8" t="inlineStr">
        <is>
          <t>Applications</t>
        </is>
      </c>
      <c r="B8" t="inlineStr">
        <is>
          <t>OMS</t>
        </is>
      </c>
      <c r="C8" t="inlineStr">
        <is>
          <t>Phase 1 blueprint completed; platform development continuing</t>
        </is>
      </c>
    </row>
    <row r="9">
      <c r="A9" t="inlineStr">
        <is>
          <t>Logistics &amp; services</t>
        </is>
      </c>
      <c r="B9" t="inlineStr">
        <is>
          <t>Helicopter</t>
        </is>
      </c>
      <c r="C9" t="inlineStr">
        <is>
          <t>Combine with DCD's contract</t>
        </is>
      </c>
    </row>
    <row r="10">
      <c r="A10" t="inlineStr">
        <is>
          <t>Logistics &amp; services</t>
        </is>
      </c>
      <c r="B10" t="inlineStr">
        <is>
          <t>Supply vessel, FCB, security boat</t>
        </is>
      </c>
      <c r="C10" t="inlineStr">
        <is>
          <t>ITB</t>
        </is>
      </c>
    </row>
    <row r="11">
      <c r="A11" t="inlineStr">
        <is>
          <t>Logistics &amp; services</t>
        </is>
      </c>
      <c r="B11" t="inlineStr">
        <is>
          <t>Vessel inspection</t>
        </is>
      </c>
      <c r="C11" t="inlineStr">
        <is>
          <t>Combine with DCD to 2030</t>
        </is>
      </c>
    </row>
    <row r="12">
      <c r="A12" t="inlineStr">
        <is>
          <t>Logistics &amp; services</t>
        </is>
      </c>
      <c r="B12" t="inlineStr">
        <is>
          <t>MGO</t>
        </is>
      </c>
      <c r="C12" t="inlineStr">
        <is>
          <t>Change to contract</t>
        </is>
      </c>
    </row>
    <row r="13">
      <c r="A13" t="inlineStr">
        <is>
          <t>Logistics &amp; services</t>
        </is>
      </c>
      <c r="B13" t="inlineStr">
        <is>
          <t>Crew change service to Nam Can</t>
        </is>
      </c>
      <c r="C13" t="inlineStr">
        <is>
          <t>Raise PIA, PR</t>
        </is>
      </c>
    </row>
    <row r="14">
      <c r="A14" t="inlineStr">
        <is>
          <t>Logistics &amp; services</t>
        </is>
      </c>
      <c r="B14" t="inlineStr">
        <is>
          <t>Catering services</t>
        </is>
      </c>
      <c r="C14" t="inlineStr">
        <is>
          <t>No update in report</t>
        </is>
      </c>
    </row>
    <row r="15">
      <c r="A15" t="inlineStr">
        <is>
          <t>Coordination</t>
        </is>
      </c>
      <c r="B15" t="inlineStr">
        <is>
          <t>Coordination procedure</t>
        </is>
      </c>
      <c r="C15" t="inlineStr">
        <is>
          <t>Being split into 2 procedures; parties to review and complete by 31 Oct</t>
        </is>
      </c>
    </row>
    <row r="16">
      <c r="A16" t="inlineStr">
        <is>
          <t>Coordination</t>
        </is>
      </c>
      <c r="B16" t="inlineStr">
        <is>
          <t>Production profile</t>
        </is>
      </c>
      <c r="C16" t="inlineStr">
        <is>
          <t>Sales gas capability 73 MMscfd (SSF) from Sep-27, rising to about 170 MMscfd (75%) by Nov-27 vs total sales gas requirement</t>
        </is>
      </c>
    </row>
    <row r="17">
      <c r="A17" t="inlineStr">
        <is>
          <t>Commissioning</t>
        </is>
      </c>
      <c r="B17" t="inlineStr">
        <is>
          <t>Offshore preservation</t>
        </is>
      </c>
      <c r="C17" t="inlineStr">
        <is>
          <t>Findings → punch list → close out</t>
        </is>
      </c>
    </row>
    <row r="18">
      <c r="A18" t="inlineStr">
        <is>
          <t>Commissioning</t>
        </is>
      </c>
      <c r="B18" t="inlineStr">
        <is>
          <t>Installation, pre-com, com</t>
        </is>
      </c>
      <c r="C18" t="inlineStr">
        <is>
          <t>E-house, HVAC, Crane, FM200, LQ UPS</t>
        </is>
      </c>
    </row>
  </sheetData>
  <pageMargins left="0.75" right="0.75" top="1" bottom="1" header="0.5" footer="0.5"/>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G211"/>
  <sheetViews>
    <sheetView tabSelected="0" workbookViewId="0">
      <pane ySplit="1" topLeftCell="A2" activePane="bottomLeft" state="frozen"/>
      <selection pane="bottomLeft" activeCell="A1" sqref="A1"/>
    </sheetView>
  </sheetViews>
  <sheetFormatPr baseColWidth="8" defaultRowHeight="15"/>
  <cols>
    <col width="45" customWidth="1" min="1" max="1"/>
    <col width="24" customWidth="1" min="2" max="2"/>
    <col width="34" customWidth="1" min="3" max="3"/>
    <col width="12" customWidth="1" min="4" max="4"/>
    <col width="13" customWidth="1" min="5" max="5"/>
    <col width="14" customWidth="1" min="6" max="6"/>
    <col width="30" customWidth="1" min="7" max="7"/>
  </cols>
  <sheetData>
    <row r="1">
      <c r="A1" t="inlineStr">
        <is>
          <t>permit</t>
        </is>
      </c>
      <c r="B1" t="inlineStr">
        <is>
          <t>facility</t>
        </is>
      </c>
      <c r="C1" t="inlineStr">
        <is>
          <t>authority</t>
        </is>
      </c>
      <c r="D1" t="inlineStr">
        <is>
          <t>issue_date</t>
        </is>
      </c>
      <c r="E1" t="inlineStr">
        <is>
          <t>expiry_date</t>
        </is>
      </c>
      <c r="F1" t="inlineStr">
        <is>
          <t>renewal_date</t>
        </is>
      </c>
      <c r="G1" t="inlineStr">
        <is>
          <t>status</t>
        </is>
      </c>
    </row>
    <row r="2">
      <c r="A2" t="inlineStr">
        <is>
          <t>Frequency certificate for FSO DMR (CPP)</t>
        </is>
      </c>
      <c r="B2" t="inlineStr">
        <is>
          <t>CPP – FSO</t>
        </is>
      </c>
      <c r="C2" t="inlineStr">
        <is>
          <t>Radio Frequency Authority (ARFM)</t>
        </is>
      </c>
      <c r="D2" s="5" t="inlineStr">
        <is>
          <t>2025-07-31</t>
        </is>
      </c>
      <c r="E2" s="5" t="inlineStr">
        <is>
          <t>2028-07-30</t>
        </is>
      </c>
      <c r="F2" s="5" t="inlineStr">
        <is>
          <t>2028-02-01</t>
        </is>
      </c>
      <c r="G2" t="inlineStr">
        <is>
          <t>Issued</t>
        </is>
      </c>
    </row>
    <row r="3">
      <c r="A3" t="inlineStr">
        <is>
          <t>Frequency certificate for FSO DMR (LQ)</t>
        </is>
      </c>
      <c r="B3" t="inlineStr">
        <is>
          <t>LQ – FSO</t>
        </is>
      </c>
      <c r="C3" t="inlineStr">
        <is>
          <t>Radio Frequency Authority (ARFM)</t>
        </is>
      </c>
      <c r="D3" s="5" t="inlineStr">
        <is>
          <t>2025-07-31</t>
        </is>
      </c>
      <c r="E3" s="5" t="inlineStr">
        <is>
          <t>2028-07-30</t>
        </is>
      </c>
      <c r="F3" s="5" t="inlineStr">
        <is>
          <t>2028-02-01</t>
        </is>
      </c>
      <c r="G3" t="inlineStr">
        <is>
          <t>Issued</t>
        </is>
      </c>
    </row>
    <row r="4">
      <c r="A4" t="inlineStr">
        <is>
          <t>UHF radio frequency license</t>
        </is>
      </c>
      <c r="B4" t="inlineStr">
        <is>
          <t>CPP</t>
        </is>
      </c>
      <c r="C4" t="inlineStr">
        <is>
          <t>Radio Frequency Authority (ARFM)</t>
        </is>
      </c>
      <c r="D4" s="5" t="inlineStr">
        <is>
          <t>2025-07-21</t>
        </is>
      </c>
      <c r="E4" s="5" t="inlineStr">
        <is>
          <t>2028-07-20</t>
        </is>
      </c>
      <c r="F4" s="5" t="inlineStr">
        <is>
          <t>2028-01-22</t>
        </is>
      </c>
      <c r="G4" t="inlineStr">
        <is>
          <t>Issued</t>
        </is>
      </c>
    </row>
    <row r="5">
      <c r="A5" t="inlineStr">
        <is>
          <t>Frequency licenses for temporary DMRs</t>
        </is>
      </c>
      <c r="B5" t="inlineStr">
        <is>
          <t>AQWA, KLWA, KLWB, CVWA</t>
        </is>
      </c>
      <c r="C5" t="inlineStr">
        <is>
          <t>Radio Frequency Authority (ARFM)</t>
        </is>
      </c>
      <c r="D5" s="5" t="inlineStr">
        <is>
          <t>2025-08-13</t>
        </is>
      </c>
      <c r="E5" s="5" t="inlineStr">
        <is>
          <t>2027-08-12</t>
        </is>
      </c>
      <c r="F5" s="5" t="n"/>
      <c r="G5" t="inlineStr">
        <is>
          <t>Temporary</t>
        </is>
      </c>
    </row>
    <row r="6">
      <c r="A6" t="inlineStr">
        <is>
          <t>Frequency license for VHF Airband (CPP, LQ)</t>
        </is>
      </c>
      <c r="B6" t="inlineStr">
        <is>
          <t>CPP, LQ</t>
        </is>
      </c>
      <c r="C6" t="inlineStr">
        <is>
          <t>Radio Frequency Authority (ARFM)</t>
        </is>
      </c>
      <c r="D6" s="5" t="n"/>
      <c r="E6" s="5" t="n"/>
      <c r="F6" s="5" t="n"/>
      <c r="G6" t="inlineStr">
        <is>
          <t>Waiting for helideck license</t>
        </is>
      </c>
    </row>
    <row r="7">
      <c r="A7" t="inlineStr">
        <is>
          <t>Frequency license for NDB (LQ)</t>
        </is>
      </c>
      <c r="B7" t="inlineStr">
        <is>
          <t>LQ</t>
        </is>
      </c>
      <c r="C7" t="inlineStr">
        <is>
          <t>Radio Frequency Authority (ARFM)</t>
        </is>
      </c>
      <c r="D7" s="5" t="n"/>
      <c r="E7" s="5" t="n"/>
      <c r="F7" s="5" t="n"/>
      <c r="G7" t="inlineStr">
        <is>
          <t>Waiting for helideck license</t>
        </is>
      </c>
    </row>
    <row r="8">
      <c r="A8" t="inlineStr">
        <is>
          <t>FSO certificate (class &amp; flag state)</t>
        </is>
      </c>
      <c r="B8" t="inlineStr">
        <is>
          <t>FSO</t>
        </is>
      </c>
      <c r="C8" t="inlineStr">
        <is>
          <t>PPS</t>
        </is>
      </c>
      <c r="D8" s="5" t="n"/>
      <c r="E8" s="5" t="n"/>
      <c r="F8" s="5" t="n"/>
      <c r="G8" t="inlineStr">
        <is>
          <t>No update in report</t>
        </is>
      </c>
    </row>
    <row r="9">
      <c r="A9" t="inlineStr">
        <is>
          <t>Helideck operation approval</t>
        </is>
      </c>
      <c r="B9" t="inlineStr">
        <is>
          <t>Helideck</t>
        </is>
      </c>
      <c r="C9" t="inlineStr">
        <is>
          <t>MM Marine</t>
        </is>
      </c>
      <c r="D9" s="5" t="n"/>
      <c r="E9" s="5" t="n"/>
      <c r="F9" s="5" t="n"/>
      <c r="G9" t="inlineStr">
        <is>
          <t>No update in report</t>
        </is>
      </c>
    </row>
    <row r="10">
      <c r="A10" t="inlineStr">
        <is>
          <t>ISPS</t>
        </is>
      </c>
      <c r="B10" t="inlineStr">
        <is>
          <t>Marine</t>
        </is>
      </c>
      <c r="C10" t="inlineStr">
        <is>
          <t>MM Marine</t>
        </is>
      </c>
      <c r="D10" s="5" t="n"/>
      <c r="E10" s="5" t="n"/>
      <c r="F10" s="5" t="n"/>
      <c r="G10" t="inlineStr">
        <is>
          <t>No update in report</t>
        </is>
      </c>
    </row>
    <row r="11">
      <c r="A11" t="inlineStr">
        <is>
          <t>Port license</t>
        </is>
      </c>
      <c r="B11" t="inlineStr">
        <is>
          <t>Marine</t>
        </is>
      </c>
      <c r="C11" t="inlineStr">
        <is>
          <t>MM Marine</t>
        </is>
      </c>
      <c r="D11" s="5" t="n"/>
      <c r="E11" s="5" t="n"/>
      <c r="F11" s="5" t="n"/>
      <c r="G11" t="inlineStr">
        <is>
          <t>No update in report</t>
        </is>
      </c>
    </row>
    <row r="12">
      <c r="D12" s="5" t="n"/>
      <c r="E12" s="5" t="n"/>
      <c r="F12" s="5" t="n"/>
    </row>
    <row r="13">
      <c r="D13" s="5" t="n"/>
      <c r="E13" s="5" t="n"/>
      <c r="F13" s="5" t="n"/>
    </row>
    <row r="14">
      <c r="D14" s="5" t="n"/>
      <c r="E14" s="5" t="n"/>
      <c r="F14" s="5" t="n"/>
    </row>
    <row r="15">
      <c r="D15" s="5" t="n"/>
      <c r="E15" s="5" t="n"/>
      <c r="F15" s="5" t="n"/>
    </row>
    <row r="16">
      <c r="D16" s="5" t="n"/>
      <c r="E16" s="5" t="n"/>
      <c r="F16" s="5" t="n"/>
    </row>
    <row r="17">
      <c r="D17" s="5" t="n"/>
      <c r="E17" s="5" t="n"/>
      <c r="F17" s="5" t="n"/>
    </row>
    <row r="18">
      <c r="D18" s="5" t="n"/>
      <c r="E18" s="5" t="n"/>
      <c r="F18" s="5" t="n"/>
    </row>
    <row r="19">
      <c r="D19" s="5" t="n"/>
      <c r="E19" s="5" t="n"/>
      <c r="F19" s="5" t="n"/>
    </row>
    <row r="20">
      <c r="D20" s="5" t="n"/>
      <c r="E20" s="5" t="n"/>
      <c r="F20" s="5" t="n"/>
    </row>
    <row r="21">
      <c r="D21" s="5" t="n"/>
      <c r="E21" s="5" t="n"/>
      <c r="F21" s="5" t="n"/>
    </row>
    <row r="22">
      <c r="D22" s="5" t="n"/>
      <c r="E22" s="5" t="n"/>
      <c r="F22" s="5" t="n"/>
    </row>
    <row r="23">
      <c r="D23" s="5" t="n"/>
      <c r="E23" s="5" t="n"/>
      <c r="F23" s="5" t="n"/>
    </row>
    <row r="24">
      <c r="D24" s="5" t="n"/>
      <c r="E24" s="5" t="n"/>
      <c r="F24" s="5" t="n"/>
    </row>
    <row r="25">
      <c r="D25" s="5" t="n"/>
      <c r="E25" s="5" t="n"/>
      <c r="F25" s="5" t="n"/>
    </row>
    <row r="26">
      <c r="D26" s="5" t="n"/>
      <c r="E26" s="5" t="n"/>
      <c r="F26" s="5" t="n"/>
    </row>
    <row r="27">
      <c r="D27" s="5" t="n"/>
      <c r="E27" s="5" t="n"/>
      <c r="F27" s="5" t="n"/>
    </row>
    <row r="28">
      <c r="D28" s="5" t="n"/>
      <c r="E28" s="5" t="n"/>
      <c r="F28" s="5" t="n"/>
    </row>
    <row r="29">
      <c r="D29" s="5" t="n"/>
      <c r="E29" s="5" t="n"/>
      <c r="F29" s="5" t="n"/>
    </row>
    <row r="30">
      <c r="D30" s="5" t="n"/>
      <c r="E30" s="5" t="n"/>
      <c r="F30" s="5" t="n"/>
    </row>
    <row r="31">
      <c r="D31" s="5" t="n"/>
      <c r="E31" s="5" t="n"/>
      <c r="F31" s="5" t="n"/>
    </row>
    <row r="32">
      <c r="D32" s="5" t="n"/>
      <c r="E32" s="5" t="n"/>
      <c r="F32" s="5" t="n"/>
    </row>
    <row r="33">
      <c r="D33" s="5" t="n"/>
      <c r="E33" s="5" t="n"/>
      <c r="F33" s="5" t="n"/>
    </row>
    <row r="34">
      <c r="D34" s="5" t="n"/>
      <c r="E34" s="5" t="n"/>
      <c r="F34" s="5" t="n"/>
    </row>
    <row r="35">
      <c r="D35" s="5" t="n"/>
      <c r="E35" s="5" t="n"/>
      <c r="F35" s="5" t="n"/>
    </row>
    <row r="36">
      <c r="D36" s="5" t="n"/>
      <c r="E36" s="5" t="n"/>
      <c r="F36" s="5" t="n"/>
    </row>
    <row r="37">
      <c r="D37" s="5" t="n"/>
      <c r="E37" s="5" t="n"/>
      <c r="F37" s="5" t="n"/>
    </row>
    <row r="38">
      <c r="D38" s="5" t="n"/>
      <c r="E38" s="5" t="n"/>
      <c r="F38" s="5" t="n"/>
    </row>
    <row r="39">
      <c r="D39" s="5" t="n"/>
      <c r="E39" s="5" t="n"/>
      <c r="F39" s="5" t="n"/>
    </row>
    <row r="40">
      <c r="D40" s="5" t="n"/>
      <c r="E40" s="5" t="n"/>
      <c r="F40" s="5" t="n"/>
    </row>
    <row r="41">
      <c r="D41" s="5" t="n"/>
      <c r="E41" s="5" t="n"/>
      <c r="F41" s="5" t="n"/>
    </row>
    <row r="42">
      <c r="D42" s="5" t="n"/>
      <c r="E42" s="5" t="n"/>
      <c r="F42" s="5" t="n"/>
    </row>
    <row r="43">
      <c r="D43" s="5" t="n"/>
      <c r="E43" s="5" t="n"/>
      <c r="F43" s="5" t="n"/>
    </row>
    <row r="44">
      <c r="D44" s="5" t="n"/>
      <c r="E44" s="5" t="n"/>
      <c r="F44" s="5" t="n"/>
    </row>
    <row r="45">
      <c r="D45" s="5" t="n"/>
      <c r="E45" s="5" t="n"/>
      <c r="F45" s="5" t="n"/>
    </row>
    <row r="46">
      <c r="D46" s="5" t="n"/>
      <c r="E46" s="5" t="n"/>
      <c r="F46" s="5" t="n"/>
    </row>
    <row r="47">
      <c r="D47" s="5" t="n"/>
      <c r="E47" s="5" t="n"/>
      <c r="F47" s="5" t="n"/>
    </row>
    <row r="48">
      <c r="D48" s="5" t="n"/>
      <c r="E48" s="5" t="n"/>
      <c r="F48" s="5" t="n"/>
    </row>
    <row r="49">
      <c r="D49" s="5" t="n"/>
      <c r="E49" s="5" t="n"/>
      <c r="F49" s="5" t="n"/>
    </row>
    <row r="50">
      <c r="D50" s="5" t="n"/>
      <c r="E50" s="5" t="n"/>
      <c r="F50" s="5" t="n"/>
    </row>
    <row r="51">
      <c r="D51" s="5" t="n"/>
      <c r="E51" s="5" t="n"/>
      <c r="F51" s="5" t="n"/>
    </row>
    <row r="52">
      <c r="D52" s="5" t="n"/>
      <c r="E52" s="5" t="n"/>
      <c r="F52" s="5" t="n"/>
    </row>
    <row r="53">
      <c r="D53" s="5" t="n"/>
      <c r="E53" s="5" t="n"/>
      <c r="F53" s="5" t="n"/>
    </row>
    <row r="54">
      <c r="D54" s="5" t="n"/>
      <c r="E54" s="5" t="n"/>
      <c r="F54" s="5" t="n"/>
    </row>
    <row r="55">
      <c r="D55" s="5" t="n"/>
      <c r="E55" s="5" t="n"/>
      <c r="F55" s="5" t="n"/>
    </row>
    <row r="56">
      <c r="D56" s="5" t="n"/>
      <c r="E56" s="5" t="n"/>
      <c r="F56" s="5" t="n"/>
    </row>
    <row r="57">
      <c r="D57" s="5" t="n"/>
      <c r="E57" s="5" t="n"/>
      <c r="F57" s="5" t="n"/>
    </row>
    <row r="58">
      <c r="D58" s="5" t="n"/>
      <c r="E58" s="5" t="n"/>
      <c r="F58" s="5" t="n"/>
    </row>
    <row r="59">
      <c r="D59" s="5" t="n"/>
      <c r="E59" s="5" t="n"/>
      <c r="F59" s="5" t="n"/>
    </row>
    <row r="60">
      <c r="D60" s="5" t="n"/>
      <c r="E60" s="5" t="n"/>
      <c r="F60" s="5" t="n"/>
    </row>
    <row r="61">
      <c r="D61" s="5" t="n"/>
      <c r="E61" s="5" t="n"/>
      <c r="F61" s="5" t="n"/>
    </row>
    <row r="62">
      <c r="D62" s="5" t="n"/>
      <c r="E62" s="5" t="n"/>
      <c r="F62" s="5" t="n"/>
    </row>
    <row r="63">
      <c r="D63" s="5" t="n"/>
      <c r="E63" s="5" t="n"/>
      <c r="F63" s="5" t="n"/>
    </row>
    <row r="64">
      <c r="D64" s="5" t="n"/>
      <c r="E64" s="5" t="n"/>
      <c r="F64" s="5" t="n"/>
    </row>
    <row r="65">
      <c r="D65" s="5" t="n"/>
      <c r="E65" s="5" t="n"/>
      <c r="F65" s="5" t="n"/>
    </row>
    <row r="66">
      <c r="D66" s="5" t="n"/>
      <c r="E66" s="5" t="n"/>
      <c r="F66" s="5" t="n"/>
    </row>
    <row r="67">
      <c r="D67" s="5" t="n"/>
      <c r="E67" s="5" t="n"/>
      <c r="F67" s="5" t="n"/>
    </row>
    <row r="68">
      <c r="D68" s="5" t="n"/>
      <c r="E68" s="5" t="n"/>
      <c r="F68" s="5" t="n"/>
    </row>
    <row r="69">
      <c r="D69" s="5" t="n"/>
      <c r="E69" s="5" t="n"/>
      <c r="F69" s="5" t="n"/>
    </row>
    <row r="70">
      <c r="D70" s="5" t="n"/>
      <c r="E70" s="5" t="n"/>
      <c r="F70" s="5" t="n"/>
    </row>
    <row r="71">
      <c r="D71" s="5" t="n"/>
      <c r="E71" s="5" t="n"/>
      <c r="F71" s="5" t="n"/>
    </row>
    <row r="72">
      <c r="D72" s="5" t="n"/>
      <c r="E72" s="5" t="n"/>
      <c r="F72" s="5" t="n"/>
    </row>
    <row r="73">
      <c r="D73" s="5" t="n"/>
      <c r="E73" s="5" t="n"/>
      <c r="F73" s="5" t="n"/>
    </row>
    <row r="74">
      <c r="D74" s="5" t="n"/>
      <c r="E74" s="5" t="n"/>
      <c r="F74" s="5" t="n"/>
    </row>
    <row r="75">
      <c r="D75" s="5" t="n"/>
      <c r="E75" s="5" t="n"/>
      <c r="F75" s="5" t="n"/>
    </row>
    <row r="76">
      <c r="D76" s="5" t="n"/>
      <c r="E76" s="5" t="n"/>
      <c r="F76" s="5" t="n"/>
    </row>
    <row r="77">
      <c r="D77" s="5" t="n"/>
      <c r="E77" s="5" t="n"/>
      <c r="F77" s="5" t="n"/>
    </row>
    <row r="78">
      <c r="D78" s="5" t="n"/>
      <c r="E78" s="5" t="n"/>
      <c r="F78" s="5" t="n"/>
    </row>
    <row r="79">
      <c r="D79" s="5" t="n"/>
      <c r="E79" s="5" t="n"/>
      <c r="F79" s="5" t="n"/>
    </row>
    <row r="80">
      <c r="D80" s="5" t="n"/>
      <c r="E80" s="5" t="n"/>
      <c r="F80" s="5" t="n"/>
    </row>
    <row r="81">
      <c r="D81" s="5" t="n"/>
      <c r="E81" s="5" t="n"/>
      <c r="F81" s="5" t="n"/>
    </row>
    <row r="82">
      <c r="D82" s="5" t="n"/>
      <c r="E82" s="5" t="n"/>
      <c r="F82" s="5" t="n"/>
    </row>
    <row r="83">
      <c r="D83" s="5" t="n"/>
      <c r="E83" s="5" t="n"/>
      <c r="F83" s="5" t="n"/>
    </row>
    <row r="84">
      <c r="D84" s="5" t="n"/>
      <c r="E84" s="5" t="n"/>
      <c r="F84" s="5" t="n"/>
    </row>
    <row r="85">
      <c r="D85" s="5" t="n"/>
      <c r="E85" s="5" t="n"/>
      <c r="F85" s="5" t="n"/>
    </row>
    <row r="86">
      <c r="D86" s="5" t="n"/>
      <c r="E86" s="5" t="n"/>
      <c r="F86" s="5" t="n"/>
    </row>
    <row r="87">
      <c r="D87" s="5" t="n"/>
      <c r="E87" s="5" t="n"/>
      <c r="F87" s="5" t="n"/>
    </row>
    <row r="88">
      <c r="D88" s="5" t="n"/>
      <c r="E88" s="5" t="n"/>
      <c r="F88" s="5" t="n"/>
    </row>
    <row r="89">
      <c r="D89" s="5" t="n"/>
      <c r="E89" s="5" t="n"/>
      <c r="F89" s="5" t="n"/>
    </row>
    <row r="90">
      <c r="D90" s="5" t="n"/>
      <c r="E90" s="5" t="n"/>
      <c r="F90" s="5" t="n"/>
    </row>
    <row r="91">
      <c r="D91" s="5" t="n"/>
      <c r="E91" s="5" t="n"/>
      <c r="F91" s="5" t="n"/>
    </row>
    <row r="92">
      <c r="D92" s="5" t="n"/>
      <c r="E92" s="5" t="n"/>
      <c r="F92" s="5" t="n"/>
    </row>
    <row r="93">
      <c r="D93" s="5" t="n"/>
      <c r="E93" s="5" t="n"/>
      <c r="F93" s="5" t="n"/>
    </row>
    <row r="94">
      <c r="D94" s="5" t="n"/>
      <c r="E94" s="5" t="n"/>
      <c r="F94" s="5" t="n"/>
    </row>
    <row r="95">
      <c r="D95" s="5" t="n"/>
      <c r="E95" s="5" t="n"/>
      <c r="F95" s="5" t="n"/>
    </row>
    <row r="96">
      <c r="D96" s="5" t="n"/>
      <c r="E96" s="5" t="n"/>
      <c r="F96" s="5" t="n"/>
    </row>
    <row r="97">
      <c r="D97" s="5" t="n"/>
      <c r="E97" s="5" t="n"/>
      <c r="F97" s="5" t="n"/>
    </row>
    <row r="98">
      <c r="D98" s="5" t="n"/>
      <c r="E98" s="5" t="n"/>
      <c r="F98" s="5" t="n"/>
    </row>
    <row r="99">
      <c r="D99" s="5" t="n"/>
      <c r="E99" s="5" t="n"/>
      <c r="F99" s="5" t="n"/>
    </row>
    <row r="100">
      <c r="D100" s="5" t="n"/>
      <c r="E100" s="5" t="n"/>
      <c r="F100" s="5" t="n"/>
    </row>
    <row r="101">
      <c r="D101" s="5" t="n"/>
      <c r="E101" s="5" t="n"/>
      <c r="F101" s="5" t="n"/>
    </row>
    <row r="102">
      <c r="D102" s="5" t="n"/>
      <c r="E102" s="5" t="n"/>
      <c r="F102" s="5" t="n"/>
    </row>
    <row r="103">
      <c r="D103" s="5" t="n"/>
      <c r="E103" s="5" t="n"/>
      <c r="F103" s="5" t="n"/>
    </row>
    <row r="104">
      <c r="D104" s="5" t="n"/>
      <c r="E104" s="5" t="n"/>
      <c r="F104" s="5" t="n"/>
    </row>
    <row r="105">
      <c r="D105" s="5" t="n"/>
      <c r="E105" s="5" t="n"/>
      <c r="F105" s="5" t="n"/>
    </row>
    <row r="106">
      <c r="D106" s="5" t="n"/>
      <c r="E106" s="5" t="n"/>
      <c r="F106" s="5" t="n"/>
    </row>
    <row r="107">
      <c r="D107" s="5" t="n"/>
      <c r="E107" s="5" t="n"/>
      <c r="F107" s="5" t="n"/>
    </row>
    <row r="108">
      <c r="D108" s="5" t="n"/>
      <c r="E108" s="5" t="n"/>
      <c r="F108" s="5" t="n"/>
    </row>
    <row r="109">
      <c r="D109" s="5" t="n"/>
      <c r="E109" s="5" t="n"/>
      <c r="F109" s="5" t="n"/>
    </row>
    <row r="110">
      <c r="D110" s="5" t="n"/>
      <c r="E110" s="5" t="n"/>
      <c r="F110" s="5" t="n"/>
    </row>
    <row r="111">
      <c r="D111" s="5" t="n"/>
      <c r="E111" s="5" t="n"/>
      <c r="F111" s="5" t="n"/>
    </row>
    <row r="112">
      <c r="D112" s="5" t="n"/>
      <c r="E112" s="5" t="n"/>
      <c r="F112" s="5" t="n"/>
    </row>
    <row r="113">
      <c r="D113" s="5" t="n"/>
      <c r="E113" s="5" t="n"/>
      <c r="F113" s="5" t="n"/>
    </row>
    <row r="114">
      <c r="D114" s="5" t="n"/>
      <c r="E114" s="5" t="n"/>
      <c r="F114" s="5" t="n"/>
    </row>
    <row r="115">
      <c r="D115" s="5" t="n"/>
      <c r="E115" s="5" t="n"/>
      <c r="F115" s="5" t="n"/>
    </row>
    <row r="116">
      <c r="D116" s="5" t="n"/>
      <c r="E116" s="5" t="n"/>
      <c r="F116" s="5" t="n"/>
    </row>
    <row r="117">
      <c r="D117" s="5" t="n"/>
      <c r="E117" s="5" t="n"/>
      <c r="F117" s="5" t="n"/>
    </row>
    <row r="118">
      <c r="D118" s="5" t="n"/>
      <c r="E118" s="5" t="n"/>
      <c r="F118" s="5" t="n"/>
    </row>
    <row r="119">
      <c r="D119" s="5" t="n"/>
      <c r="E119" s="5" t="n"/>
      <c r="F119" s="5" t="n"/>
    </row>
    <row r="120">
      <c r="D120" s="5" t="n"/>
      <c r="E120" s="5" t="n"/>
      <c r="F120" s="5" t="n"/>
    </row>
    <row r="121">
      <c r="D121" s="5" t="n"/>
      <c r="E121" s="5" t="n"/>
      <c r="F121" s="5" t="n"/>
    </row>
    <row r="122">
      <c r="D122" s="5" t="n"/>
      <c r="E122" s="5" t="n"/>
      <c r="F122" s="5" t="n"/>
    </row>
    <row r="123">
      <c r="D123" s="5" t="n"/>
      <c r="E123" s="5" t="n"/>
      <c r="F123" s="5" t="n"/>
    </row>
    <row r="124">
      <c r="D124" s="5" t="n"/>
      <c r="E124" s="5" t="n"/>
      <c r="F124" s="5" t="n"/>
    </row>
    <row r="125">
      <c r="D125" s="5" t="n"/>
      <c r="E125" s="5" t="n"/>
      <c r="F125" s="5" t="n"/>
    </row>
    <row r="126">
      <c r="D126" s="5" t="n"/>
      <c r="E126" s="5" t="n"/>
      <c r="F126" s="5" t="n"/>
    </row>
    <row r="127">
      <c r="D127" s="5" t="n"/>
      <c r="E127" s="5" t="n"/>
      <c r="F127" s="5" t="n"/>
    </row>
    <row r="128">
      <c r="D128" s="5" t="n"/>
      <c r="E128" s="5" t="n"/>
      <c r="F128" s="5" t="n"/>
    </row>
    <row r="129">
      <c r="D129" s="5" t="n"/>
      <c r="E129" s="5" t="n"/>
      <c r="F129" s="5" t="n"/>
    </row>
    <row r="130">
      <c r="D130" s="5" t="n"/>
      <c r="E130" s="5" t="n"/>
      <c r="F130" s="5" t="n"/>
    </row>
    <row r="131">
      <c r="D131" s="5" t="n"/>
      <c r="E131" s="5" t="n"/>
      <c r="F131" s="5" t="n"/>
    </row>
    <row r="132">
      <c r="D132" s="5" t="n"/>
      <c r="E132" s="5" t="n"/>
      <c r="F132" s="5" t="n"/>
    </row>
    <row r="133">
      <c r="D133" s="5" t="n"/>
      <c r="E133" s="5" t="n"/>
      <c r="F133" s="5" t="n"/>
    </row>
    <row r="134">
      <c r="D134" s="5" t="n"/>
      <c r="E134" s="5" t="n"/>
      <c r="F134" s="5" t="n"/>
    </row>
    <row r="135">
      <c r="D135" s="5" t="n"/>
      <c r="E135" s="5" t="n"/>
      <c r="F135" s="5" t="n"/>
    </row>
    <row r="136">
      <c r="D136" s="5" t="n"/>
      <c r="E136" s="5" t="n"/>
      <c r="F136" s="5" t="n"/>
    </row>
    <row r="137">
      <c r="D137" s="5" t="n"/>
      <c r="E137" s="5" t="n"/>
      <c r="F137" s="5" t="n"/>
    </row>
    <row r="138">
      <c r="D138" s="5" t="n"/>
      <c r="E138" s="5" t="n"/>
      <c r="F138" s="5" t="n"/>
    </row>
    <row r="139">
      <c r="D139" s="5" t="n"/>
      <c r="E139" s="5" t="n"/>
      <c r="F139" s="5" t="n"/>
    </row>
    <row r="140">
      <c r="D140" s="5" t="n"/>
      <c r="E140" s="5" t="n"/>
      <c r="F140" s="5" t="n"/>
    </row>
    <row r="141">
      <c r="D141" s="5" t="n"/>
      <c r="E141" s="5" t="n"/>
      <c r="F141" s="5" t="n"/>
    </row>
    <row r="142">
      <c r="D142" s="5" t="n"/>
      <c r="E142" s="5" t="n"/>
      <c r="F142" s="5" t="n"/>
    </row>
    <row r="143">
      <c r="D143" s="5" t="n"/>
      <c r="E143" s="5" t="n"/>
      <c r="F143" s="5" t="n"/>
    </row>
    <row r="144">
      <c r="D144" s="5" t="n"/>
      <c r="E144" s="5" t="n"/>
      <c r="F144" s="5" t="n"/>
    </row>
    <row r="145">
      <c r="D145" s="5" t="n"/>
      <c r="E145" s="5" t="n"/>
      <c r="F145" s="5" t="n"/>
    </row>
    <row r="146">
      <c r="D146" s="5" t="n"/>
      <c r="E146" s="5" t="n"/>
      <c r="F146" s="5" t="n"/>
    </row>
    <row r="147">
      <c r="D147" s="5" t="n"/>
      <c r="E147" s="5" t="n"/>
      <c r="F147" s="5" t="n"/>
    </row>
    <row r="148">
      <c r="D148" s="5" t="n"/>
      <c r="E148" s="5" t="n"/>
      <c r="F148" s="5" t="n"/>
    </row>
    <row r="149">
      <c r="D149" s="5" t="n"/>
      <c r="E149" s="5" t="n"/>
      <c r="F149" s="5" t="n"/>
    </row>
    <row r="150">
      <c r="D150" s="5" t="n"/>
      <c r="E150" s="5" t="n"/>
      <c r="F150" s="5" t="n"/>
    </row>
    <row r="151">
      <c r="D151" s="5" t="n"/>
      <c r="E151" s="5" t="n"/>
      <c r="F151" s="5" t="n"/>
    </row>
    <row r="152">
      <c r="D152" s="5" t="n"/>
      <c r="E152" s="5" t="n"/>
      <c r="F152" s="5" t="n"/>
    </row>
    <row r="153">
      <c r="D153" s="5" t="n"/>
      <c r="E153" s="5" t="n"/>
      <c r="F153" s="5" t="n"/>
    </row>
    <row r="154">
      <c r="D154" s="5" t="n"/>
      <c r="E154" s="5" t="n"/>
      <c r="F154" s="5" t="n"/>
    </row>
    <row r="155">
      <c r="D155" s="5" t="n"/>
      <c r="E155" s="5" t="n"/>
      <c r="F155" s="5" t="n"/>
    </row>
    <row r="156">
      <c r="D156" s="5" t="n"/>
      <c r="E156" s="5" t="n"/>
      <c r="F156" s="5" t="n"/>
    </row>
    <row r="157">
      <c r="D157" s="5" t="n"/>
      <c r="E157" s="5" t="n"/>
      <c r="F157" s="5" t="n"/>
    </row>
    <row r="158">
      <c r="D158" s="5" t="n"/>
      <c r="E158" s="5" t="n"/>
      <c r="F158" s="5" t="n"/>
    </row>
    <row r="159">
      <c r="D159" s="5" t="n"/>
      <c r="E159" s="5" t="n"/>
      <c r="F159" s="5" t="n"/>
    </row>
    <row r="160">
      <c r="D160" s="5" t="n"/>
      <c r="E160" s="5" t="n"/>
      <c r="F160" s="5" t="n"/>
    </row>
    <row r="161">
      <c r="D161" s="5" t="n"/>
      <c r="E161" s="5" t="n"/>
      <c r="F161" s="5" t="n"/>
    </row>
    <row r="162">
      <c r="D162" s="5" t="n"/>
      <c r="E162" s="5" t="n"/>
      <c r="F162" s="5" t="n"/>
    </row>
    <row r="163">
      <c r="D163" s="5" t="n"/>
      <c r="E163" s="5" t="n"/>
      <c r="F163" s="5" t="n"/>
    </row>
    <row r="164">
      <c r="D164" s="5" t="n"/>
      <c r="E164" s="5" t="n"/>
      <c r="F164" s="5" t="n"/>
    </row>
    <row r="165">
      <c r="D165" s="5" t="n"/>
      <c r="E165" s="5" t="n"/>
      <c r="F165" s="5" t="n"/>
    </row>
    <row r="166">
      <c r="D166" s="5" t="n"/>
      <c r="E166" s="5" t="n"/>
      <c r="F166" s="5" t="n"/>
    </row>
    <row r="167">
      <c r="D167" s="5" t="n"/>
      <c r="E167" s="5" t="n"/>
      <c r="F167" s="5" t="n"/>
    </row>
    <row r="168">
      <c r="D168" s="5" t="n"/>
      <c r="E168" s="5" t="n"/>
      <c r="F168" s="5" t="n"/>
    </row>
    <row r="169">
      <c r="D169" s="5" t="n"/>
      <c r="E169" s="5" t="n"/>
      <c r="F169" s="5" t="n"/>
    </row>
    <row r="170">
      <c r="D170" s="5" t="n"/>
      <c r="E170" s="5" t="n"/>
      <c r="F170" s="5" t="n"/>
    </row>
    <row r="171">
      <c r="D171" s="5" t="n"/>
      <c r="E171" s="5" t="n"/>
      <c r="F171" s="5" t="n"/>
    </row>
    <row r="172">
      <c r="D172" s="5" t="n"/>
      <c r="E172" s="5" t="n"/>
      <c r="F172" s="5" t="n"/>
    </row>
    <row r="173">
      <c r="D173" s="5" t="n"/>
      <c r="E173" s="5" t="n"/>
      <c r="F173" s="5" t="n"/>
    </row>
    <row r="174">
      <c r="D174" s="5" t="n"/>
      <c r="E174" s="5" t="n"/>
      <c r="F174" s="5" t="n"/>
    </row>
    <row r="175">
      <c r="D175" s="5" t="n"/>
      <c r="E175" s="5" t="n"/>
      <c r="F175" s="5" t="n"/>
    </row>
    <row r="176">
      <c r="D176" s="5" t="n"/>
      <c r="E176" s="5" t="n"/>
      <c r="F176" s="5" t="n"/>
    </row>
    <row r="177">
      <c r="D177" s="5" t="n"/>
      <c r="E177" s="5" t="n"/>
      <c r="F177" s="5" t="n"/>
    </row>
    <row r="178">
      <c r="D178" s="5" t="n"/>
      <c r="E178" s="5" t="n"/>
      <c r="F178" s="5" t="n"/>
    </row>
    <row r="179">
      <c r="D179" s="5" t="n"/>
      <c r="E179" s="5" t="n"/>
      <c r="F179" s="5" t="n"/>
    </row>
    <row r="180">
      <c r="D180" s="5" t="n"/>
      <c r="E180" s="5" t="n"/>
      <c r="F180" s="5" t="n"/>
    </row>
    <row r="181">
      <c r="D181" s="5" t="n"/>
      <c r="E181" s="5" t="n"/>
      <c r="F181" s="5" t="n"/>
    </row>
    <row r="182">
      <c r="D182" s="5" t="n"/>
      <c r="E182" s="5" t="n"/>
      <c r="F182" s="5" t="n"/>
    </row>
    <row r="183">
      <c r="D183" s="5" t="n"/>
      <c r="E183" s="5" t="n"/>
      <c r="F183" s="5" t="n"/>
    </row>
    <row r="184">
      <c r="D184" s="5" t="n"/>
      <c r="E184" s="5" t="n"/>
      <c r="F184" s="5" t="n"/>
    </row>
    <row r="185">
      <c r="D185" s="5" t="n"/>
      <c r="E185" s="5" t="n"/>
      <c r="F185" s="5" t="n"/>
    </row>
    <row r="186">
      <c r="D186" s="5" t="n"/>
      <c r="E186" s="5" t="n"/>
      <c r="F186" s="5" t="n"/>
    </row>
    <row r="187">
      <c r="D187" s="5" t="n"/>
      <c r="E187" s="5" t="n"/>
      <c r="F187" s="5" t="n"/>
    </row>
    <row r="188">
      <c r="D188" s="5" t="n"/>
      <c r="E188" s="5" t="n"/>
      <c r="F188" s="5" t="n"/>
    </row>
    <row r="189">
      <c r="D189" s="5" t="n"/>
      <c r="E189" s="5" t="n"/>
      <c r="F189" s="5" t="n"/>
    </row>
    <row r="190">
      <c r="D190" s="5" t="n"/>
      <c r="E190" s="5" t="n"/>
      <c r="F190" s="5" t="n"/>
    </row>
    <row r="191">
      <c r="D191" s="5" t="n"/>
      <c r="E191" s="5" t="n"/>
      <c r="F191" s="5" t="n"/>
    </row>
    <row r="192">
      <c r="D192" s="5" t="n"/>
      <c r="E192" s="5" t="n"/>
      <c r="F192" s="5" t="n"/>
    </row>
    <row r="193">
      <c r="D193" s="5" t="n"/>
      <c r="E193" s="5" t="n"/>
      <c r="F193" s="5" t="n"/>
    </row>
    <row r="194">
      <c r="D194" s="5" t="n"/>
      <c r="E194" s="5" t="n"/>
      <c r="F194" s="5" t="n"/>
    </row>
    <row r="195">
      <c r="D195" s="5" t="n"/>
      <c r="E195" s="5" t="n"/>
      <c r="F195" s="5" t="n"/>
    </row>
    <row r="196">
      <c r="D196" s="5" t="n"/>
      <c r="E196" s="5" t="n"/>
      <c r="F196" s="5" t="n"/>
    </row>
    <row r="197">
      <c r="D197" s="5" t="n"/>
      <c r="E197" s="5" t="n"/>
      <c r="F197" s="5" t="n"/>
    </row>
    <row r="198">
      <c r="D198" s="5" t="n"/>
      <c r="E198" s="5" t="n"/>
      <c r="F198" s="5" t="n"/>
    </row>
    <row r="199">
      <c r="D199" s="5" t="n"/>
      <c r="E199" s="5" t="n"/>
      <c r="F199" s="5" t="n"/>
    </row>
    <row r="200">
      <c r="D200" s="5" t="n"/>
      <c r="E200" s="5" t="n"/>
      <c r="F200" s="5" t="n"/>
    </row>
    <row r="201">
      <c r="D201" s="5" t="n"/>
      <c r="E201" s="5" t="n"/>
      <c r="F201" s="5" t="n"/>
    </row>
    <row r="202">
      <c r="D202" s="5" t="n"/>
      <c r="E202" s="5" t="n"/>
      <c r="F202" s="5" t="n"/>
    </row>
    <row r="203">
      <c r="D203" s="5" t="n"/>
      <c r="E203" s="5" t="n"/>
      <c r="F203" s="5" t="n"/>
    </row>
    <row r="204">
      <c r="D204" s="5" t="n"/>
      <c r="E204" s="5" t="n"/>
      <c r="F204" s="5" t="n"/>
    </row>
    <row r="205">
      <c r="D205" s="5" t="n"/>
      <c r="E205" s="5" t="n"/>
      <c r="F205" s="5" t="n"/>
    </row>
    <row r="206">
      <c r="D206" s="5" t="n"/>
      <c r="E206" s="5" t="n"/>
      <c r="F206" s="5" t="n"/>
    </row>
    <row r="207">
      <c r="D207" s="5" t="n"/>
      <c r="E207" s="5" t="n"/>
      <c r="F207" s="5" t="n"/>
    </row>
    <row r="208">
      <c r="D208" s="5" t="n"/>
      <c r="E208" s="5" t="n"/>
      <c r="F208" s="5" t="n"/>
    </row>
    <row r="209">
      <c r="D209" s="5" t="n"/>
      <c r="E209" s="5" t="n"/>
      <c r="F209" s="5" t="n"/>
    </row>
    <row r="210">
      <c r="D210" s="5" t="n"/>
      <c r="E210" s="5" t="n"/>
      <c r="F210" s="5" t="n"/>
    </row>
    <row r="211">
      <c r="D211" s="5" t="n"/>
      <c r="E211" s="5" t="n"/>
      <c r="F211" s="5" t="n"/>
    </row>
  </sheetData>
  <pageMargins left="0.75" right="0.75" top="1" bottom="1" header="0.5" footer="0.5"/>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E218"/>
  <sheetViews>
    <sheetView tabSelected="0" workbookViewId="0">
      <pane ySplit="1" topLeftCell="A2" activePane="bottomLeft" state="frozen"/>
      <selection pane="bottomLeft" activeCell="A1" sqref="A1"/>
    </sheetView>
  </sheetViews>
  <sheetFormatPr baseColWidth="8" defaultRowHeight="15"/>
  <cols>
    <col width="60" customWidth="1" min="1" max="1"/>
    <col width="12" customWidth="1" min="2" max="2"/>
    <col width="13" customWidth="1" min="3" max="3"/>
    <col width="14" customWidth="1" min="4" max="4"/>
    <col width="15" customWidth="1" min="5" max="5"/>
  </cols>
  <sheetData>
    <row r="1">
      <c r="A1" t="inlineStr">
        <is>
          <t>activity</t>
        </is>
      </c>
      <c r="B1" t="inlineStr">
        <is>
          <t>plan_start</t>
        </is>
      </c>
      <c r="C1" t="inlineStr">
        <is>
          <t>plan_finish</t>
        </is>
      </c>
      <c r="D1" t="inlineStr">
        <is>
          <t>actual_start</t>
        </is>
      </c>
      <c r="E1" t="inlineStr">
        <is>
          <t>actual_finish</t>
        </is>
      </c>
    </row>
    <row r="2">
      <c r="A2" t="inlineStr">
        <is>
          <t>Pre-commissioning Hydraulic Power Unit (with TUTU) (CPPT-04-01)</t>
        </is>
      </c>
      <c r="B2" s="5" t="inlineStr">
        <is>
          <t>2027-01-04</t>
        </is>
      </c>
      <c r="C2" s="5" t="inlineStr">
        <is>
          <t>2027-01-13</t>
        </is>
      </c>
      <c r="D2" s="5" t="n"/>
      <c r="E2" s="5" t="n"/>
    </row>
    <row r="3">
      <c r="A3" t="inlineStr">
        <is>
          <t>Pre-commissioning Inlet Separators Train 1 (CPPT-10-01)</t>
        </is>
      </c>
      <c r="B3" s="5" t="inlineStr">
        <is>
          <t>2027-01-06</t>
        </is>
      </c>
      <c r="C3" s="5" t="inlineStr">
        <is>
          <t>2027-01-23</t>
        </is>
      </c>
      <c r="D3" s="5" t="n"/>
      <c r="E3" s="5" t="n"/>
    </row>
    <row r="4">
      <c r="A4" t="inlineStr">
        <is>
          <t>Pre-commissioning Production &amp; Pipeline Compressor Train 1 (CPPT-11-01)</t>
        </is>
      </c>
      <c r="B4" s="5" t="inlineStr">
        <is>
          <t>2026-12-15</t>
        </is>
      </c>
      <c r="C4" s="5" t="inlineStr">
        <is>
          <t>2026-12-25</t>
        </is>
      </c>
      <c r="D4" s="5" t="n"/>
      <c r="E4" s="5" t="n"/>
    </row>
    <row r="5">
      <c r="A5" t="inlineStr">
        <is>
          <t>Pre-commissioning Production Compressor Suction Train 1 (CPPT-11-02)</t>
        </is>
      </c>
      <c r="B5" s="5" t="inlineStr">
        <is>
          <t>2026-12-03</t>
        </is>
      </c>
      <c r="C5" s="5" t="inlineStr">
        <is>
          <t>2026-12-12</t>
        </is>
      </c>
      <c r="D5" s="5" t="n"/>
      <c r="E5" s="5" t="n"/>
    </row>
    <row r="6">
      <c r="A6" t="inlineStr">
        <is>
          <t>Pre-commissioning Production Compressor Discharge Train 1 (CPPT-11-03)</t>
        </is>
      </c>
      <c r="B6" s="5" t="inlineStr">
        <is>
          <t>2027-01-05</t>
        </is>
      </c>
      <c r="C6" s="5" t="inlineStr">
        <is>
          <t>2027-01-08</t>
        </is>
      </c>
      <c r="D6" s="5" t="n"/>
      <c r="E6" s="5" t="n"/>
    </row>
    <row r="7">
      <c r="A7" t="inlineStr">
        <is>
          <t>Pre-commissioning Gas Turbine Lube Oil Train 1 (CPPT-11-04)</t>
        </is>
      </c>
      <c r="B7" s="5" t="inlineStr">
        <is>
          <t>2026-10-13</t>
        </is>
      </c>
      <c r="C7" s="5" t="inlineStr">
        <is>
          <t>2026-11-16</t>
        </is>
      </c>
      <c r="D7" s="5" t="n"/>
      <c r="E7" s="5" t="n"/>
    </row>
    <row r="8">
      <c r="A8" t="inlineStr">
        <is>
          <t>Pre-commissioning UCP for Production &amp; Pipeline Compressor Train 1 (CPPT-11-05)</t>
        </is>
      </c>
      <c r="B8" s="5" t="inlineStr">
        <is>
          <t>2026-11-16</t>
        </is>
      </c>
      <c r="C8" s="5" t="inlineStr">
        <is>
          <t>2026-12-08</t>
        </is>
      </c>
      <c r="D8" s="5" t="n"/>
      <c r="E8" s="5" t="n"/>
    </row>
    <row r="9">
      <c r="A9" t="inlineStr">
        <is>
          <t>Comm Train 1 – Production &amp; Pipeline Compressor System (FTP)</t>
        </is>
      </c>
      <c r="B9" s="5" t="inlineStr">
        <is>
          <t>2027-01-09</t>
        </is>
      </c>
      <c r="C9" s="5" t="inlineStr">
        <is>
          <t>2027-02-19</t>
        </is>
      </c>
      <c r="D9" s="5" t="n"/>
      <c r="E9" s="5" t="n"/>
    </row>
    <row r="10">
      <c r="A10" t="inlineStr">
        <is>
          <t>Pre-commissioning Glycol Dehydration Train 1 (CPPT-12-01)</t>
        </is>
      </c>
      <c r="B10" s="5" t="inlineStr">
        <is>
          <t>2027-01-04</t>
        </is>
      </c>
      <c r="C10" s="5" t="inlineStr">
        <is>
          <t>2027-01-23</t>
        </is>
      </c>
      <c r="D10" s="5" t="n"/>
      <c r="E10" s="5" t="n"/>
    </row>
    <row r="11">
      <c r="A11" t="inlineStr">
        <is>
          <t>Pre-commissioning Glycol Regeneration Train 1 (CPPT-12-02)</t>
        </is>
      </c>
      <c r="B11" s="5" t="inlineStr">
        <is>
          <t>2026-11-02</t>
        </is>
      </c>
      <c r="C11" s="5" t="inlineStr">
        <is>
          <t>2026-11-19</t>
        </is>
      </c>
      <c r="D11" s="5" t="n"/>
      <c r="E11" s="5" t="n"/>
    </row>
    <row r="12">
      <c r="A12" t="inlineStr">
        <is>
          <t>Comm Train 1 – Glycol Regeneration (FTP)</t>
        </is>
      </c>
      <c r="B12" s="5" t="inlineStr">
        <is>
          <t>2027-01-25</t>
        </is>
      </c>
      <c r="C12" s="5" t="inlineStr">
        <is>
          <t>2027-02-26</t>
        </is>
      </c>
      <c r="D12" s="5" t="n"/>
      <c r="E12" s="5" t="n"/>
    </row>
    <row r="13">
      <c r="A13" t="inlineStr">
        <is>
          <t>Pre-commissioning Expander Suction Train 1 (CPPT-13-01)</t>
        </is>
      </c>
      <c r="B13" s="5" t="inlineStr">
        <is>
          <t>2026-10-31</t>
        </is>
      </c>
      <c r="C13" s="5" t="inlineStr">
        <is>
          <t>2026-11-13</t>
        </is>
      </c>
      <c r="D13" s="5" t="n"/>
      <c r="E13" s="5" t="n"/>
    </row>
    <row r="14">
      <c r="A14" t="inlineStr">
        <is>
          <t>Pre-commissioning Turbo Expander Package Train 1 (CPPT-13-02)</t>
        </is>
      </c>
      <c r="B14" s="5" t="inlineStr">
        <is>
          <t>2026-10-31</t>
        </is>
      </c>
      <c r="C14" s="5" t="inlineStr">
        <is>
          <t>2026-11-11</t>
        </is>
      </c>
      <c r="D14" s="5" t="n"/>
      <c r="E14" s="5" t="n"/>
    </row>
    <row r="15">
      <c r="A15" t="inlineStr">
        <is>
          <t>Pre-commissioning Expander Discharge Train 1 (CPPT-13-03)</t>
        </is>
      </c>
      <c r="B15" s="5" t="inlineStr">
        <is>
          <t>2026-10-31</t>
        </is>
      </c>
      <c r="C15" s="5" t="inlineStr">
        <is>
          <t>2026-11-13</t>
        </is>
      </c>
      <c r="D15" s="5" t="n"/>
      <c r="E15" s="5" t="n"/>
    </row>
    <row r="16">
      <c r="A16" t="inlineStr">
        <is>
          <t>Pre-commissioning Booster Compressor Suction &amp; Discharge Train 1 (CPPT-13-04)</t>
        </is>
      </c>
      <c r="B16" s="5" t="inlineStr">
        <is>
          <t>2026-11-14</t>
        </is>
      </c>
      <c r="C16" s="5" t="inlineStr">
        <is>
          <t>2026-11-23</t>
        </is>
      </c>
      <c r="D16" s="5" t="n"/>
      <c r="E16" s="5" t="n"/>
    </row>
    <row r="17">
      <c r="A17" t="inlineStr">
        <is>
          <t>Pre-commissioning Turbo Expander Lube Oil Cooler Train 1 (CPPT-13-05) incl. oil flushing</t>
        </is>
      </c>
      <c r="B17" s="5" t="inlineStr">
        <is>
          <t>2026-10-31</t>
        </is>
      </c>
      <c r="C17" s="5" t="inlineStr">
        <is>
          <t>2026-11-23</t>
        </is>
      </c>
      <c r="D17" s="5" t="n"/>
      <c r="E17" s="5" t="n"/>
    </row>
    <row r="18">
      <c r="A18" t="inlineStr">
        <is>
          <t>Pre-commissioning UCP – Turbo Expander Package Train 1 (CPPT-13-06)</t>
        </is>
      </c>
      <c r="B18" s="5" t="inlineStr">
        <is>
          <t>2026-10-17</t>
        </is>
      </c>
      <c r="C18" s="5" t="inlineStr">
        <is>
          <t>2026-10-26</t>
        </is>
      </c>
      <c r="D18" s="5" t="n"/>
      <c r="E18" s="5" t="n"/>
    </row>
    <row r="19">
      <c r="B19" s="5" t="n"/>
      <c r="C19" s="5" t="n"/>
      <c r="D19" s="5" t="n"/>
      <c r="E19" s="5" t="n"/>
    </row>
    <row r="20">
      <c r="B20" s="5" t="n"/>
      <c r="C20" s="5" t="n"/>
      <c r="D20" s="5" t="n"/>
      <c r="E20" s="5" t="n"/>
    </row>
    <row r="21">
      <c r="B21" s="5" t="n"/>
      <c r="C21" s="5" t="n"/>
      <c r="D21" s="5" t="n"/>
      <c r="E21" s="5" t="n"/>
    </row>
    <row r="22">
      <c r="B22" s="5" t="n"/>
      <c r="C22" s="5" t="n"/>
      <c r="D22" s="5" t="n"/>
      <c r="E22" s="5" t="n"/>
    </row>
    <row r="23">
      <c r="B23" s="5" t="n"/>
      <c r="C23" s="5" t="n"/>
      <c r="D23" s="5" t="n"/>
      <c r="E23" s="5" t="n"/>
    </row>
    <row r="24">
      <c r="B24" s="5" t="n"/>
      <c r="C24" s="5" t="n"/>
      <c r="D24" s="5" t="n"/>
      <c r="E24" s="5" t="n"/>
    </row>
    <row r="25">
      <c r="B25" s="5" t="n"/>
      <c r="C25" s="5" t="n"/>
      <c r="D25" s="5" t="n"/>
      <c r="E25" s="5" t="n"/>
    </row>
    <row r="26">
      <c r="B26" s="5" t="n"/>
      <c r="C26" s="5" t="n"/>
      <c r="D26" s="5" t="n"/>
      <c r="E26" s="5" t="n"/>
    </row>
    <row r="27">
      <c r="B27" s="5" t="n"/>
      <c r="C27" s="5" t="n"/>
      <c r="D27" s="5" t="n"/>
      <c r="E27" s="5" t="n"/>
    </row>
    <row r="28">
      <c r="B28" s="5" t="n"/>
      <c r="C28" s="5" t="n"/>
      <c r="D28" s="5" t="n"/>
      <c r="E28" s="5" t="n"/>
    </row>
    <row r="29">
      <c r="B29" s="5" t="n"/>
      <c r="C29" s="5" t="n"/>
      <c r="D29" s="5" t="n"/>
      <c r="E29" s="5" t="n"/>
    </row>
    <row r="30">
      <c r="B30" s="5" t="n"/>
      <c r="C30" s="5" t="n"/>
      <c r="D30" s="5" t="n"/>
      <c r="E30" s="5" t="n"/>
    </row>
    <row r="31">
      <c r="B31" s="5" t="n"/>
      <c r="C31" s="5" t="n"/>
      <c r="D31" s="5" t="n"/>
      <c r="E31" s="5" t="n"/>
    </row>
    <row r="32">
      <c r="B32" s="5" t="n"/>
      <c r="C32" s="5" t="n"/>
      <c r="D32" s="5" t="n"/>
      <c r="E32" s="5" t="n"/>
    </row>
    <row r="33">
      <c r="B33" s="5" t="n"/>
      <c r="C33" s="5" t="n"/>
      <c r="D33" s="5" t="n"/>
      <c r="E33" s="5" t="n"/>
    </row>
    <row r="34">
      <c r="B34" s="5" t="n"/>
      <c r="C34" s="5" t="n"/>
      <c r="D34" s="5" t="n"/>
      <c r="E34" s="5" t="n"/>
    </row>
    <row r="35">
      <c r="B35" s="5" t="n"/>
      <c r="C35" s="5" t="n"/>
      <c r="D35" s="5" t="n"/>
      <c r="E35" s="5" t="n"/>
    </row>
    <row r="36">
      <c r="B36" s="5" t="n"/>
      <c r="C36" s="5" t="n"/>
      <c r="D36" s="5" t="n"/>
      <c r="E36" s="5" t="n"/>
    </row>
    <row r="37">
      <c r="B37" s="5" t="n"/>
      <c r="C37" s="5" t="n"/>
      <c r="D37" s="5" t="n"/>
      <c r="E37" s="5" t="n"/>
    </row>
    <row r="38">
      <c r="B38" s="5" t="n"/>
      <c r="C38" s="5" t="n"/>
      <c r="D38" s="5" t="n"/>
      <c r="E38" s="5" t="n"/>
    </row>
    <row r="39">
      <c r="B39" s="5" t="n"/>
      <c r="C39" s="5" t="n"/>
      <c r="D39" s="5" t="n"/>
      <c r="E39" s="5" t="n"/>
    </row>
    <row r="40">
      <c r="B40" s="5" t="n"/>
      <c r="C40" s="5" t="n"/>
      <c r="D40" s="5" t="n"/>
      <c r="E40" s="5" t="n"/>
    </row>
    <row r="41">
      <c r="B41" s="5" t="n"/>
      <c r="C41" s="5" t="n"/>
      <c r="D41" s="5" t="n"/>
      <c r="E41" s="5" t="n"/>
    </row>
    <row r="42">
      <c r="B42" s="5" t="n"/>
      <c r="C42" s="5" t="n"/>
      <c r="D42" s="5" t="n"/>
      <c r="E42" s="5" t="n"/>
    </row>
    <row r="43">
      <c r="B43" s="5" t="n"/>
      <c r="C43" s="5" t="n"/>
      <c r="D43" s="5" t="n"/>
      <c r="E43" s="5" t="n"/>
    </row>
    <row r="44">
      <c r="B44" s="5" t="n"/>
      <c r="C44" s="5" t="n"/>
      <c r="D44" s="5" t="n"/>
      <c r="E44" s="5" t="n"/>
    </row>
    <row r="45">
      <c r="B45" s="5" t="n"/>
      <c r="C45" s="5" t="n"/>
      <c r="D45" s="5" t="n"/>
      <c r="E45" s="5" t="n"/>
    </row>
    <row r="46">
      <c r="B46" s="5" t="n"/>
      <c r="C46" s="5" t="n"/>
      <c r="D46" s="5" t="n"/>
      <c r="E46" s="5" t="n"/>
    </row>
    <row r="47">
      <c r="B47" s="5" t="n"/>
      <c r="C47" s="5" t="n"/>
      <c r="D47" s="5" t="n"/>
      <c r="E47" s="5" t="n"/>
    </row>
    <row r="48">
      <c r="B48" s="5" t="n"/>
      <c r="C48" s="5" t="n"/>
      <c r="D48" s="5" t="n"/>
      <c r="E48" s="5" t="n"/>
    </row>
    <row r="49">
      <c r="B49" s="5" t="n"/>
      <c r="C49" s="5" t="n"/>
      <c r="D49" s="5" t="n"/>
      <c r="E49" s="5" t="n"/>
    </row>
    <row r="50">
      <c r="B50" s="5" t="n"/>
      <c r="C50" s="5" t="n"/>
      <c r="D50" s="5" t="n"/>
      <c r="E50" s="5" t="n"/>
    </row>
    <row r="51">
      <c r="B51" s="5" t="n"/>
      <c r="C51" s="5" t="n"/>
      <c r="D51" s="5" t="n"/>
      <c r="E51" s="5" t="n"/>
    </row>
    <row r="52">
      <c r="B52" s="5" t="n"/>
      <c r="C52" s="5" t="n"/>
      <c r="D52" s="5" t="n"/>
      <c r="E52" s="5" t="n"/>
    </row>
    <row r="53">
      <c r="B53" s="5" t="n"/>
      <c r="C53" s="5" t="n"/>
      <c r="D53" s="5" t="n"/>
      <c r="E53" s="5" t="n"/>
    </row>
    <row r="54">
      <c r="B54" s="5" t="n"/>
      <c r="C54" s="5" t="n"/>
      <c r="D54" s="5" t="n"/>
      <c r="E54" s="5" t="n"/>
    </row>
    <row r="55">
      <c r="B55" s="5" t="n"/>
      <c r="C55" s="5" t="n"/>
      <c r="D55" s="5" t="n"/>
      <c r="E55" s="5" t="n"/>
    </row>
    <row r="56">
      <c r="B56" s="5" t="n"/>
      <c r="C56" s="5" t="n"/>
      <c r="D56" s="5" t="n"/>
      <c r="E56" s="5" t="n"/>
    </row>
    <row r="57">
      <c r="B57" s="5" t="n"/>
      <c r="C57" s="5" t="n"/>
      <c r="D57" s="5" t="n"/>
      <c r="E57" s="5" t="n"/>
    </row>
    <row r="58">
      <c r="B58" s="5" t="n"/>
      <c r="C58" s="5" t="n"/>
      <c r="D58" s="5" t="n"/>
      <c r="E58" s="5" t="n"/>
    </row>
    <row r="59">
      <c r="B59" s="5" t="n"/>
      <c r="C59" s="5" t="n"/>
      <c r="D59" s="5" t="n"/>
      <c r="E59" s="5" t="n"/>
    </row>
    <row r="60">
      <c r="B60" s="5" t="n"/>
      <c r="C60" s="5" t="n"/>
      <c r="D60" s="5" t="n"/>
      <c r="E60" s="5" t="n"/>
    </row>
    <row r="61">
      <c r="B61" s="5" t="n"/>
      <c r="C61" s="5" t="n"/>
      <c r="D61" s="5" t="n"/>
      <c r="E61" s="5" t="n"/>
    </row>
    <row r="62">
      <c r="B62" s="5" t="n"/>
      <c r="C62" s="5" t="n"/>
      <c r="D62" s="5" t="n"/>
      <c r="E62" s="5" t="n"/>
    </row>
    <row r="63">
      <c r="B63" s="5" t="n"/>
      <c r="C63" s="5" t="n"/>
      <c r="D63" s="5" t="n"/>
      <c r="E63" s="5" t="n"/>
    </row>
    <row r="64">
      <c r="B64" s="5" t="n"/>
      <c r="C64" s="5" t="n"/>
      <c r="D64" s="5" t="n"/>
      <c r="E64" s="5" t="n"/>
    </row>
    <row r="65">
      <c r="B65" s="5" t="n"/>
      <c r="C65" s="5" t="n"/>
      <c r="D65" s="5" t="n"/>
      <c r="E65" s="5" t="n"/>
    </row>
    <row r="66">
      <c r="B66" s="5" t="n"/>
      <c r="C66" s="5" t="n"/>
      <c r="D66" s="5" t="n"/>
      <c r="E66" s="5" t="n"/>
    </row>
    <row r="67">
      <c r="B67" s="5" t="n"/>
      <c r="C67" s="5" t="n"/>
      <c r="D67" s="5" t="n"/>
      <c r="E67" s="5" t="n"/>
    </row>
    <row r="68">
      <c r="B68" s="5" t="n"/>
      <c r="C68" s="5" t="n"/>
      <c r="D68" s="5" t="n"/>
      <c r="E68" s="5" t="n"/>
    </row>
    <row r="69">
      <c r="B69" s="5" t="n"/>
      <c r="C69" s="5" t="n"/>
      <c r="D69" s="5" t="n"/>
      <c r="E69" s="5" t="n"/>
    </row>
    <row r="70">
      <c r="B70" s="5" t="n"/>
      <c r="C70" s="5" t="n"/>
      <c r="D70" s="5" t="n"/>
      <c r="E70" s="5" t="n"/>
    </row>
    <row r="71">
      <c r="B71" s="5" t="n"/>
      <c r="C71" s="5" t="n"/>
      <c r="D71" s="5" t="n"/>
      <c r="E71" s="5" t="n"/>
    </row>
    <row r="72">
      <c r="B72" s="5" t="n"/>
      <c r="C72" s="5" t="n"/>
      <c r="D72" s="5" t="n"/>
      <c r="E72" s="5" t="n"/>
    </row>
    <row r="73">
      <c r="B73" s="5" t="n"/>
      <c r="C73" s="5" t="n"/>
      <c r="D73" s="5" t="n"/>
      <c r="E73" s="5" t="n"/>
    </row>
    <row r="74">
      <c r="B74" s="5" t="n"/>
      <c r="C74" s="5" t="n"/>
      <c r="D74" s="5" t="n"/>
      <c r="E74" s="5" t="n"/>
    </row>
    <row r="75">
      <c r="B75" s="5" t="n"/>
      <c r="C75" s="5" t="n"/>
      <c r="D75" s="5" t="n"/>
      <c r="E75" s="5" t="n"/>
    </row>
    <row r="76">
      <c r="B76" s="5" t="n"/>
      <c r="C76" s="5" t="n"/>
      <c r="D76" s="5" t="n"/>
      <c r="E76" s="5" t="n"/>
    </row>
    <row r="77">
      <c r="B77" s="5" t="n"/>
      <c r="C77" s="5" t="n"/>
      <c r="D77" s="5" t="n"/>
      <c r="E77" s="5" t="n"/>
    </row>
    <row r="78">
      <c r="B78" s="5" t="n"/>
      <c r="C78" s="5" t="n"/>
      <c r="D78" s="5" t="n"/>
      <c r="E78" s="5" t="n"/>
    </row>
    <row r="79">
      <c r="B79" s="5" t="n"/>
      <c r="C79" s="5" t="n"/>
      <c r="D79" s="5" t="n"/>
      <c r="E79" s="5" t="n"/>
    </row>
    <row r="80">
      <c r="B80" s="5" t="n"/>
      <c r="C80" s="5" t="n"/>
      <c r="D80" s="5" t="n"/>
      <c r="E80" s="5" t="n"/>
    </row>
    <row r="81">
      <c r="B81" s="5" t="n"/>
      <c r="C81" s="5" t="n"/>
      <c r="D81" s="5" t="n"/>
      <c r="E81" s="5" t="n"/>
    </row>
    <row r="82">
      <c r="B82" s="5" t="n"/>
      <c r="C82" s="5" t="n"/>
      <c r="D82" s="5" t="n"/>
      <c r="E82" s="5" t="n"/>
    </row>
    <row r="83">
      <c r="B83" s="5" t="n"/>
      <c r="C83" s="5" t="n"/>
      <c r="D83" s="5" t="n"/>
      <c r="E83" s="5" t="n"/>
    </row>
    <row r="84">
      <c r="B84" s="5" t="n"/>
      <c r="C84" s="5" t="n"/>
      <c r="D84" s="5" t="n"/>
      <c r="E84" s="5" t="n"/>
    </row>
    <row r="85">
      <c r="B85" s="5" t="n"/>
      <c r="C85" s="5" t="n"/>
      <c r="D85" s="5" t="n"/>
      <c r="E85" s="5" t="n"/>
    </row>
    <row r="86">
      <c r="B86" s="5" t="n"/>
      <c r="C86" s="5" t="n"/>
      <c r="D86" s="5" t="n"/>
      <c r="E86" s="5" t="n"/>
    </row>
    <row r="87">
      <c r="B87" s="5" t="n"/>
      <c r="C87" s="5" t="n"/>
      <c r="D87" s="5" t="n"/>
      <c r="E87" s="5" t="n"/>
    </row>
    <row r="88">
      <c r="B88" s="5" t="n"/>
      <c r="C88" s="5" t="n"/>
      <c r="D88" s="5" t="n"/>
      <c r="E88" s="5" t="n"/>
    </row>
    <row r="89">
      <c r="B89" s="5" t="n"/>
      <c r="C89" s="5" t="n"/>
      <c r="D89" s="5" t="n"/>
      <c r="E89" s="5" t="n"/>
    </row>
    <row r="90">
      <c r="B90" s="5" t="n"/>
      <c r="C90" s="5" t="n"/>
      <c r="D90" s="5" t="n"/>
      <c r="E90" s="5" t="n"/>
    </row>
    <row r="91">
      <c r="B91" s="5" t="n"/>
      <c r="C91" s="5" t="n"/>
      <c r="D91" s="5" t="n"/>
      <c r="E91" s="5" t="n"/>
    </row>
    <row r="92">
      <c r="B92" s="5" t="n"/>
      <c r="C92" s="5" t="n"/>
      <c r="D92" s="5" t="n"/>
      <c r="E92" s="5" t="n"/>
    </row>
    <row r="93">
      <c r="B93" s="5" t="n"/>
      <c r="C93" s="5" t="n"/>
      <c r="D93" s="5" t="n"/>
      <c r="E93" s="5" t="n"/>
    </row>
    <row r="94">
      <c r="B94" s="5" t="n"/>
      <c r="C94" s="5" t="n"/>
      <c r="D94" s="5" t="n"/>
      <c r="E94" s="5" t="n"/>
    </row>
    <row r="95">
      <c r="B95" s="5" t="n"/>
      <c r="C95" s="5" t="n"/>
      <c r="D95" s="5" t="n"/>
      <c r="E95" s="5" t="n"/>
    </row>
    <row r="96">
      <c r="B96" s="5" t="n"/>
      <c r="C96" s="5" t="n"/>
      <c r="D96" s="5" t="n"/>
      <c r="E96" s="5" t="n"/>
    </row>
    <row r="97">
      <c r="B97" s="5" t="n"/>
      <c r="C97" s="5" t="n"/>
      <c r="D97" s="5" t="n"/>
      <c r="E97" s="5" t="n"/>
    </row>
    <row r="98">
      <c r="B98" s="5" t="n"/>
      <c r="C98" s="5" t="n"/>
      <c r="D98" s="5" t="n"/>
      <c r="E98" s="5" t="n"/>
    </row>
    <row r="99">
      <c r="B99" s="5" t="n"/>
      <c r="C99" s="5" t="n"/>
      <c r="D99" s="5" t="n"/>
      <c r="E99" s="5" t="n"/>
    </row>
    <row r="100">
      <c r="B100" s="5" t="n"/>
      <c r="C100" s="5" t="n"/>
      <c r="D100" s="5" t="n"/>
      <c r="E100" s="5" t="n"/>
    </row>
    <row r="101">
      <c r="B101" s="5" t="n"/>
      <c r="C101" s="5" t="n"/>
      <c r="D101" s="5" t="n"/>
      <c r="E101" s="5" t="n"/>
    </row>
    <row r="102">
      <c r="B102" s="5" t="n"/>
      <c r="C102" s="5" t="n"/>
      <c r="D102" s="5" t="n"/>
      <c r="E102" s="5" t="n"/>
    </row>
    <row r="103">
      <c r="B103" s="5" t="n"/>
      <c r="C103" s="5" t="n"/>
      <c r="D103" s="5" t="n"/>
      <c r="E103" s="5" t="n"/>
    </row>
    <row r="104">
      <c r="B104" s="5" t="n"/>
      <c r="C104" s="5" t="n"/>
      <c r="D104" s="5" t="n"/>
      <c r="E104" s="5" t="n"/>
    </row>
    <row r="105">
      <c r="B105" s="5" t="n"/>
      <c r="C105" s="5" t="n"/>
      <c r="D105" s="5" t="n"/>
      <c r="E105" s="5" t="n"/>
    </row>
    <row r="106">
      <c r="B106" s="5" t="n"/>
      <c r="C106" s="5" t="n"/>
      <c r="D106" s="5" t="n"/>
      <c r="E106" s="5" t="n"/>
    </row>
    <row r="107">
      <c r="B107" s="5" t="n"/>
      <c r="C107" s="5" t="n"/>
      <c r="D107" s="5" t="n"/>
      <c r="E107" s="5" t="n"/>
    </row>
    <row r="108">
      <c r="B108" s="5" t="n"/>
      <c r="C108" s="5" t="n"/>
      <c r="D108" s="5" t="n"/>
      <c r="E108" s="5" t="n"/>
    </row>
    <row r="109">
      <c r="B109" s="5" t="n"/>
      <c r="C109" s="5" t="n"/>
      <c r="D109" s="5" t="n"/>
      <c r="E109" s="5" t="n"/>
    </row>
    <row r="110">
      <c r="B110" s="5" t="n"/>
      <c r="C110" s="5" t="n"/>
      <c r="D110" s="5" t="n"/>
      <c r="E110" s="5" t="n"/>
    </row>
    <row r="111">
      <c r="B111" s="5" t="n"/>
      <c r="C111" s="5" t="n"/>
      <c r="D111" s="5" t="n"/>
      <c r="E111" s="5" t="n"/>
    </row>
    <row r="112">
      <c r="B112" s="5" t="n"/>
      <c r="C112" s="5" t="n"/>
      <c r="D112" s="5" t="n"/>
      <c r="E112" s="5" t="n"/>
    </row>
    <row r="113">
      <c r="B113" s="5" t="n"/>
      <c r="C113" s="5" t="n"/>
      <c r="D113" s="5" t="n"/>
      <c r="E113" s="5" t="n"/>
    </row>
    <row r="114">
      <c r="B114" s="5" t="n"/>
      <c r="C114" s="5" t="n"/>
      <c r="D114" s="5" t="n"/>
      <c r="E114" s="5" t="n"/>
    </row>
    <row r="115">
      <c r="B115" s="5" t="n"/>
      <c r="C115" s="5" t="n"/>
      <c r="D115" s="5" t="n"/>
      <c r="E115" s="5" t="n"/>
    </row>
    <row r="116">
      <c r="B116" s="5" t="n"/>
      <c r="C116" s="5" t="n"/>
      <c r="D116" s="5" t="n"/>
      <c r="E116" s="5" t="n"/>
    </row>
    <row r="117">
      <c r="B117" s="5" t="n"/>
      <c r="C117" s="5" t="n"/>
      <c r="D117" s="5" t="n"/>
      <c r="E117" s="5" t="n"/>
    </row>
    <row r="118">
      <c r="B118" s="5" t="n"/>
      <c r="C118" s="5" t="n"/>
      <c r="D118" s="5" t="n"/>
      <c r="E118" s="5" t="n"/>
    </row>
    <row r="119">
      <c r="B119" s="5" t="n"/>
      <c r="C119" s="5" t="n"/>
      <c r="D119" s="5" t="n"/>
      <c r="E119" s="5" t="n"/>
    </row>
    <row r="120">
      <c r="B120" s="5" t="n"/>
      <c r="C120" s="5" t="n"/>
      <c r="D120" s="5" t="n"/>
      <c r="E120" s="5" t="n"/>
    </row>
    <row r="121">
      <c r="B121" s="5" t="n"/>
      <c r="C121" s="5" t="n"/>
      <c r="D121" s="5" t="n"/>
      <c r="E121" s="5" t="n"/>
    </row>
    <row r="122">
      <c r="B122" s="5" t="n"/>
      <c r="C122" s="5" t="n"/>
      <c r="D122" s="5" t="n"/>
      <c r="E122" s="5" t="n"/>
    </row>
    <row r="123">
      <c r="B123" s="5" t="n"/>
      <c r="C123" s="5" t="n"/>
      <c r="D123" s="5" t="n"/>
      <c r="E123" s="5" t="n"/>
    </row>
    <row r="124">
      <c r="B124" s="5" t="n"/>
      <c r="C124" s="5" t="n"/>
      <c r="D124" s="5" t="n"/>
      <c r="E124" s="5" t="n"/>
    </row>
    <row r="125">
      <c r="B125" s="5" t="n"/>
      <c r="C125" s="5" t="n"/>
      <c r="D125" s="5" t="n"/>
      <c r="E125" s="5" t="n"/>
    </row>
    <row r="126">
      <c r="B126" s="5" t="n"/>
      <c r="C126" s="5" t="n"/>
      <c r="D126" s="5" t="n"/>
      <c r="E126" s="5" t="n"/>
    </row>
    <row r="127">
      <c r="B127" s="5" t="n"/>
      <c r="C127" s="5" t="n"/>
      <c r="D127" s="5" t="n"/>
      <c r="E127" s="5" t="n"/>
    </row>
    <row r="128">
      <c r="B128" s="5" t="n"/>
      <c r="C128" s="5" t="n"/>
      <c r="D128" s="5" t="n"/>
      <c r="E128" s="5" t="n"/>
    </row>
    <row r="129">
      <c r="B129" s="5" t="n"/>
      <c r="C129" s="5" t="n"/>
      <c r="D129" s="5" t="n"/>
      <c r="E129" s="5" t="n"/>
    </row>
    <row r="130">
      <c r="B130" s="5" t="n"/>
      <c r="C130" s="5" t="n"/>
      <c r="D130" s="5" t="n"/>
      <c r="E130" s="5" t="n"/>
    </row>
    <row r="131">
      <c r="B131" s="5" t="n"/>
      <c r="C131" s="5" t="n"/>
      <c r="D131" s="5" t="n"/>
      <c r="E131" s="5" t="n"/>
    </row>
    <row r="132">
      <c r="B132" s="5" t="n"/>
      <c r="C132" s="5" t="n"/>
      <c r="D132" s="5" t="n"/>
      <c r="E132" s="5" t="n"/>
    </row>
    <row r="133">
      <c r="B133" s="5" t="n"/>
      <c r="C133" s="5" t="n"/>
      <c r="D133" s="5" t="n"/>
      <c r="E133" s="5" t="n"/>
    </row>
    <row r="134">
      <c r="B134" s="5" t="n"/>
      <c r="C134" s="5" t="n"/>
      <c r="D134" s="5" t="n"/>
      <c r="E134" s="5" t="n"/>
    </row>
    <row r="135">
      <c r="B135" s="5" t="n"/>
      <c r="C135" s="5" t="n"/>
      <c r="D135" s="5" t="n"/>
      <c r="E135" s="5" t="n"/>
    </row>
    <row r="136">
      <c r="B136" s="5" t="n"/>
      <c r="C136" s="5" t="n"/>
      <c r="D136" s="5" t="n"/>
      <c r="E136" s="5" t="n"/>
    </row>
    <row r="137">
      <c r="B137" s="5" t="n"/>
      <c r="C137" s="5" t="n"/>
      <c r="D137" s="5" t="n"/>
      <c r="E137" s="5" t="n"/>
    </row>
    <row r="138">
      <c r="B138" s="5" t="n"/>
      <c r="C138" s="5" t="n"/>
      <c r="D138" s="5" t="n"/>
      <c r="E138" s="5" t="n"/>
    </row>
    <row r="139">
      <c r="B139" s="5" t="n"/>
      <c r="C139" s="5" t="n"/>
      <c r="D139" s="5" t="n"/>
      <c r="E139" s="5" t="n"/>
    </row>
    <row r="140">
      <c r="B140" s="5" t="n"/>
      <c r="C140" s="5" t="n"/>
      <c r="D140" s="5" t="n"/>
      <c r="E140" s="5" t="n"/>
    </row>
    <row r="141">
      <c r="B141" s="5" t="n"/>
      <c r="C141" s="5" t="n"/>
      <c r="D141" s="5" t="n"/>
      <c r="E141" s="5" t="n"/>
    </row>
    <row r="142">
      <c r="B142" s="5" t="n"/>
      <c r="C142" s="5" t="n"/>
      <c r="D142" s="5" t="n"/>
      <c r="E142" s="5" t="n"/>
    </row>
    <row r="143">
      <c r="B143" s="5" t="n"/>
      <c r="C143" s="5" t="n"/>
      <c r="D143" s="5" t="n"/>
      <c r="E143" s="5" t="n"/>
    </row>
    <row r="144">
      <c r="B144" s="5" t="n"/>
      <c r="C144" s="5" t="n"/>
      <c r="D144" s="5" t="n"/>
      <c r="E144" s="5" t="n"/>
    </row>
    <row r="145">
      <c r="B145" s="5" t="n"/>
      <c r="C145" s="5" t="n"/>
      <c r="D145" s="5" t="n"/>
      <c r="E145" s="5" t="n"/>
    </row>
    <row r="146">
      <c r="B146" s="5" t="n"/>
      <c r="C146" s="5" t="n"/>
      <c r="D146" s="5" t="n"/>
      <c r="E146" s="5" t="n"/>
    </row>
    <row r="147">
      <c r="B147" s="5" t="n"/>
      <c r="C147" s="5" t="n"/>
      <c r="D147" s="5" t="n"/>
      <c r="E147" s="5" t="n"/>
    </row>
    <row r="148">
      <c r="B148" s="5" t="n"/>
      <c r="C148" s="5" t="n"/>
      <c r="D148" s="5" t="n"/>
      <c r="E148" s="5" t="n"/>
    </row>
    <row r="149">
      <c r="B149" s="5" t="n"/>
      <c r="C149" s="5" t="n"/>
      <c r="D149" s="5" t="n"/>
      <c r="E149" s="5" t="n"/>
    </row>
    <row r="150">
      <c r="B150" s="5" t="n"/>
      <c r="C150" s="5" t="n"/>
      <c r="D150" s="5" t="n"/>
      <c r="E150" s="5" t="n"/>
    </row>
    <row r="151">
      <c r="B151" s="5" t="n"/>
      <c r="C151" s="5" t="n"/>
      <c r="D151" s="5" t="n"/>
      <c r="E151" s="5" t="n"/>
    </row>
    <row r="152">
      <c r="B152" s="5" t="n"/>
      <c r="C152" s="5" t="n"/>
      <c r="D152" s="5" t="n"/>
      <c r="E152" s="5" t="n"/>
    </row>
    <row r="153">
      <c r="B153" s="5" t="n"/>
      <c r="C153" s="5" t="n"/>
      <c r="D153" s="5" t="n"/>
      <c r="E153" s="5" t="n"/>
    </row>
    <row r="154">
      <c r="B154" s="5" t="n"/>
      <c r="C154" s="5" t="n"/>
      <c r="D154" s="5" t="n"/>
      <c r="E154" s="5" t="n"/>
    </row>
    <row r="155">
      <c r="B155" s="5" t="n"/>
      <c r="C155" s="5" t="n"/>
      <c r="D155" s="5" t="n"/>
      <c r="E155" s="5" t="n"/>
    </row>
    <row r="156">
      <c r="B156" s="5" t="n"/>
      <c r="C156" s="5" t="n"/>
      <c r="D156" s="5" t="n"/>
      <c r="E156" s="5" t="n"/>
    </row>
    <row r="157">
      <c r="B157" s="5" t="n"/>
      <c r="C157" s="5" t="n"/>
      <c r="D157" s="5" t="n"/>
      <c r="E157" s="5" t="n"/>
    </row>
    <row r="158">
      <c r="B158" s="5" t="n"/>
      <c r="C158" s="5" t="n"/>
      <c r="D158" s="5" t="n"/>
      <c r="E158" s="5" t="n"/>
    </row>
    <row r="159">
      <c r="B159" s="5" t="n"/>
      <c r="C159" s="5" t="n"/>
      <c r="D159" s="5" t="n"/>
      <c r="E159" s="5" t="n"/>
    </row>
    <row r="160">
      <c r="B160" s="5" t="n"/>
      <c r="C160" s="5" t="n"/>
      <c r="D160" s="5" t="n"/>
      <c r="E160" s="5" t="n"/>
    </row>
    <row r="161">
      <c r="B161" s="5" t="n"/>
      <c r="C161" s="5" t="n"/>
      <c r="D161" s="5" t="n"/>
      <c r="E161" s="5" t="n"/>
    </row>
    <row r="162">
      <c r="B162" s="5" t="n"/>
      <c r="C162" s="5" t="n"/>
      <c r="D162" s="5" t="n"/>
      <c r="E162" s="5" t="n"/>
    </row>
    <row r="163">
      <c r="B163" s="5" t="n"/>
      <c r="C163" s="5" t="n"/>
      <c r="D163" s="5" t="n"/>
      <c r="E163" s="5" t="n"/>
    </row>
    <row r="164">
      <c r="B164" s="5" t="n"/>
      <c r="C164" s="5" t="n"/>
      <c r="D164" s="5" t="n"/>
      <c r="E164" s="5" t="n"/>
    </row>
    <row r="165">
      <c r="B165" s="5" t="n"/>
      <c r="C165" s="5" t="n"/>
      <c r="D165" s="5" t="n"/>
      <c r="E165" s="5" t="n"/>
    </row>
    <row r="166">
      <c r="B166" s="5" t="n"/>
      <c r="C166" s="5" t="n"/>
      <c r="D166" s="5" t="n"/>
      <c r="E166" s="5" t="n"/>
    </row>
    <row r="167">
      <c r="B167" s="5" t="n"/>
      <c r="C167" s="5" t="n"/>
      <c r="D167" s="5" t="n"/>
      <c r="E167" s="5" t="n"/>
    </row>
    <row r="168">
      <c r="B168" s="5" t="n"/>
      <c r="C168" s="5" t="n"/>
      <c r="D168" s="5" t="n"/>
      <c r="E168" s="5" t="n"/>
    </row>
    <row r="169">
      <c r="B169" s="5" t="n"/>
      <c r="C169" s="5" t="n"/>
      <c r="D169" s="5" t="n"/>
      <c r="E169" s="5" t="n"/>
    </row>
    <row r="170">
      <c r="B170" s="5" t="n"/>
      <c r="C170" s="5" t="n"/>
      <c r="D170" s="5" t="n"/>
      <c r="E170" s="5" t="n"/>
    </row>
    <row r="171">
      <c r="B171" s="5" t="n"/>
      <c r="C171" s="5" t="n"/>
      <c r="D171" s="5" t="n"/>
      <c r="E171" s="5" t="n"/>
    </row>
    <row r="172">
      <c r="B172" s="5" t="n"/>
      <c r="C172" s="5" t="n"/>
      <c r="D172" s="5" t="n"/>
      <c r="E172" s="5" t="n"/>
    </row>
    <row r="173">
      <c r="B173" s="5" t="n"/>
      <c r="C173" s="5" t="n"/>
      <c r="D173" s="5" t="n"/>
      <c r="E173" s="5" t="n"/>
    </row>
    <row r="174">
      <c r="B174" s="5" t="n"/>
      <c r="C174" s="5" t="n"/>
      <c r="D174" s="5" t="n"/>
      <c r="E174" s="5" t="n"/>
    </row>
    <row r="175">
      <c r="B175" s="5" t="n"/>
      <c r="C175" s="5" t="n"/>
      <c r="D175" s="5" t="n"/>
      <c r="E175" s="5" t="n"/>
    </row>
    <row r="176">
      <c r="B176" s="5" t="n"/>
      <c r="C176" s="5" t="n"/>
      <c r="D176" s="5" t="n"/>
      <c r="E176" s="5" t="n"/>
    </row>
    <row r="177">
      <c r="B177" s="5" t="n"/>
      <c r="C177" s="5" t="n"/>
      <c r="D177" s="5" t="n"/>
      <c r="E177" s="5" t="n"/>
    </row>
    <row r="178">
      <c r="B178" s="5" t="n"/>
      <c r="C178" s="5" t="n"/>
      <c r="D178" s="5" t="n"/>
      <c r="E178" s="5" t="n"/>
    </row>
    <row r="179">
      <c r="B179" s="5" t="n"/>
      <c r="C179" s="5" t="n"/>
      <c r="D179" s="5" t="n"/>
      <c r="E179" s="5" t="n"/>
    </row>
    <row r="180">
      <c r="B180" s="5" t="n"/>
      <c r="C180" s="5" t="n"/>
      <c r="D180" s="5" t="n"/>
      <c r="E180" s="5" t="n"/>
    </row>
    <row r="181">
      <c r="B181" s="5" t="n"/>
      <c r="C181" s="5" t="n"/>
      <c r="D181" s="5" t="n"/>
      <c r="E181" s="5" t="n"/>
    </row>
    <row r="182">
      <c r="B182" s="5" t="n"/>
      <c r="C182" s="5" t="n"/>
      <c r="D182" s="5" t="n"/>
      <c r="E182" s="5" t="n"/>
    </row>
    <row r="183">
      <c r="B183" s="5" t="n"/>
      <c r="C183" s="5" t="n"/>
      <c r="D183" s="5" t="n"/>
      <c r="E183" s="5" t="n"/>
    </row>
    <row r="184">
      <c r="B184" s="5" t="n"/>
      <c r="C184" s="5" t="n"/>
      <c r="D184" s="5" t="n"/>
      <c r="E184" s="5" t="n"/>
    </row>
    <row r="185">
      <c r="B185" s="5" t="n"/>
      <c r="C185" s="5" t="n"/>
      <c r="D185" s="5" t="n"/>
      <c r="E185" s="5" t="n"/>
    </row>
    <row r="186">
      <c r="B186" s="5" t="n"/>
      <c r="C186" s="5" t="n"/>
      <c r="D186" s="5" t="n"/>
      <c r="E186" s="5" t="n"/>
    </row>
    <row r="187">
      <c r="B187" s="5" t="n"/>
      <c r="C187" s="5" t="n"/>
      <c r="D187" s="5" t="n"/>
      <c r="E187" s="5" t="n"/>
    </row>
    <row r="188">
      <c r="B188" s="5" t="n"/>
      <c r="C188" s="5" t="n"/>
      <c r="D188" s="5" t="n"/>
      <c r="E188" s="5" t="n"/>
    </row>
    <row r="189">
      <c r="B189" s="5" t="n"/>
      <c r="C189" s="5" t="n"/>
      <c r="D189" s="5" t="n"/>
      <c r="E189" s="5" t="n"/>
    </row>
    <row r="190">
      <c r="B190" s="5" t="n"/>
      <c r="C190" s="5" t="n"/>
      <c r="D190" s="5" t="n"/>
      <c r="E190" s="5" t="n"/>
    </row>
    <row r="191">
      <c r="B191" s="5" t="n"/>
      <c r="C191" s="5" t="n"/>
      <c r="D191" s="5" t="n"/>
      <c r="E191" s="5" t="n"/>
    </row>
    <row r="192">
      <c r="B192" s="5" t="n"/>
      <c r="C192" s="5" t="n"/>
      <c r="D192" s="5" t="n"/>
      <c r="E192" s="5" t="n"/>
    </row>
    <row r="193">
      <c r="B193" s="5" t="n"/>
      <c r="C193" s="5" t="n"/>
      <c r="D193" s="5" t="n"/>
      <c r="E193" s="5" t="n"/>
    </row>
    <row r="194">
      <c r="B194" s="5" t="n"/>
      <c r="C194" s="5" t="n"/>
      <c r="D194" s="5" t="n"/>
      <c r="E194" s="5" t="n"/>
    </row>
    <row r="195">
      <c r="B195" s="5" t="n"/>
      <c r="C195" s="5" t="n"/>
      <c r="D195" s="5" t="n"/>
      <c r="E195" s="5" t="n"/>
    </row>
    <row r="196">
      <c r="B196" s="5" t="n"/>
      <c r="C196" s="5" t="n"/>
      <c r="D196" s="5" t="n"/>
      <c r="E196" s="5" t="n"/>
    </row>
    <row r="197">
      <c r="B197" s="5" t="n"/>
      <c r="C197" s="5" t="n"/>
      <c r="D197" s="5" t="n"/>
      <c r="E197" s="5" t="n"/>
    </row>
    <row r="198">
      <c r="B198" s="5" t="n"/>
      <c r="C198" s="5" t="n"/>
      <c r="D198" s="5" t="n"/>
      <c r="E198" s="5" t="n"/>
    </row>
    <row r="199">
      <c r="B199" s="5" t="n"/>
      <c r="C199" s="5" t="n"/>
      <c r="D199" s="5" t="n"/>
      <c r="E199" s="5" t="n"/>
    </row>
    <row r="200">
      <c r="B200" s="5" t="n"/>
      <c r="C200" s="5" t="n"/>
      <c r="D200" s="5" t="n"/>
      <c r="E200" s="5" t="n"/>
    </row>
    <row r="201">
      <c r="B201" s="5" t="n"/>
      <c r="C201" s="5" t="n"/>
      <c r="D201" s="5" t="n"/>
      <c r="E201" s="5" t="n"/>
    </row>
    <row r="202">
      <c r="B202" s="5" t="n"/>
      <c r="C202" s="5" t="n"/>
      <c r="D202" s="5" t="n"/>
      <c r="E202" s="5" t="n"/>
    </row>
    <row r="203">
      <c r="B203" s="5" t="n"/>
      <c r="C203" s="5" t="n"/>
      <c r="D203" s="5" t="n"/>
      <c r="E203" s="5" t="n"/>
    </row>
    <row r="204">
      <c r="B204" s="5" t="n"/>
      <c r="C204" s="5" t="n"/>
      <c r="D204" s="5" t="n"/>
      <c r="E204" s="5" t="n"/>
    </row>
    <row r="205">
      <c r="B205" s="5" t="n"/>
      <c r="C205" s="5" t="n"/>
      <c r="D205" s="5" t="n"/>
      <c r="E205" s="5" t="n"/>
    </row>
    <row r="206">
      <c r="B206" s="5" t="n"/>
      <c r="C206" s="5" t="n"/>
      <c r="D206" s="5" t="n"/>
      <c r="E206" s="5" t="n"/>
    </row>
    <row r="207">
      <c r="B207" s="5" t="n"/>
      <c r="C207" s="5" t="n"/>
      <c r="D207" s="5" t="n"/>
      <c r="E207" s="5" t="n"/>
    </row>
    <row r="208">
      <c r="B208" s="5" t="n"/>
      <c r="C208" s="5" t="n"/>
      <c r="D208" s="5" t="n"/>
      <c r="E208" s="5" t="n"/>
    </row>
    <row r="209">
      <c r="B209" s="5" t="n"/>
      <c r="C209" s="5" t="n"/>
      <c r="D209" s="5" t="n"/>
      <c r="E209" s="5" t="n"/>
    </row>
    <row r="210">
      <c r="B210" s="5" t="n"/>
      <c r="C210" s="5" t="n"/>
      <c r="D210" s="5" t="n"/>
      <c r="E210" s="5" t="n"/>
    </row>
    <row r="211">
      <c r="B211" s="5" t="n"/>
      <c r="C211" s="5" t="n"/>
      <c r="D211" s="5" t="n"/>
      <c r="E211" s="5" t="n"/>
    </row>
    <row r="212">
      <c r="B212" s="5" t="n"/>
      <c r="C212" s="5" t="n"/>
      <c r="D212" s="5" t="n"/>
      <c r="E212" s="5" t="n"/>
    </row>
    <row r="213">
      <c r="B213" s="5" t="n"/>
      <c r="C213" s="5" t="n"/>
      <c r="D213" s="5" t="n"/>
      <c r="E213" s="5" t="n"/>
    </row>
    <row r="214">
      <c r="B214" s="5" t="n"/>
      <c r="C214" s="5" t="n"/>
      <c r="D214" s="5" t="n"/>
      <c r="E214" s="5" t="n"/>
    </row>
    <row r="215">
      <c r="B215" s="5" t="n"/>
      <c r="C215" s="5" t="n"/>
      <c r="D215" s="5" t="n"/>
      <c r="E215" s="5" t="n"/>
    </row>
    <row r="216">
      <c r="B216" s="5" t="n"/>
      <c r="C216" s="5" t="n"/>
      <c r="D216" s="5" t="n"/>
      <c r="E216" s="5" t="n"/>
    </row>
    <row r="217">
      <c r="B217" s="5" t="n"/>
      <c r="C217" s="5" t="n"/>
      <c r="D217" s="5" t="n"/>
      <c r="E217" s="5" t="n"/>
    </row>
    <row r="218">
      <c r="B218" s="5" t="n"/>
      <c r="C218" s="5" t="n"/>
      <c r="D218" s="5" t="n"/>
      <c r="E218" s="5" t="n"/>
    </row>
  </sheetData>
  <pageMargins left="0.75" right="0.75" top="1" bottom="1" header="0.5" footer="0.5"/>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C15"/>
  <sheetViews>
    <sheetView tabSelected="0" workbookViewId="0">
      <pane ySplit="1" topLeftCell="A2" activePane="bottomLeft" state="frozen"/>
      <selection pane="bottomLeft" activeCell="A1" sqref="A1"/>
    </sheetView>
  </sheetViews>
  <sheetFormatPr baseColWidth="8" defaultRowHeight="15"/>
  <cols>
    <col width="10" customWidth="1" min="1" max="1"/>
    <col width="17" customWidth="1" min="2" max="2"/>
    <col width="60" customWidth="1" min="3" max="3"/>
  </cols>
  <sheetData>
    <row r="1">
      <c r="A1" t="inlineStr">
        <is>
          <t>step</t>
        </is>
      </c>
      <c r="B1" t="inlineStr">
        <is>
          <t>phase</t>
        </is>
      </c>
      <c r="C1" t="inlineStr">
        <is>
          <t>action</t>
        </is>
      </c>
    </row>
    <row r="2">
      <c r="A2" t="n">
        <v>1</v>
      </c>
      <c r="B2" t="inlineStr">
        <is>
          <t>Preparation</t>
        </is>
      </c>
      <c r="C2" t="inlineStr">
        <is>
          <t>Dewater and purge export gas pipelines; purge process systems; start LQ emergency DG for power; start LQ air compressor</t>
        </is>
      </c>
    </row>
    <row r="3">
      <c r="A3" t="n">
        <v>2</v>
      </c>
      <c r="B3" t="inlineStr">
        <is>
          <t>Start up CPP</t>
        </is>
      </c>
      <c r="C3" t="inlineStr">
        <is>
          <t>Start 1 GTG on diesel mode; start CPP air compressor</t>
        </is>
      </c>
    </row>
    <row r="4">
      <c r="A4" t="n">
        <v>3</v>
      </c>
      <c r="B4" t="inlineStr">
        <is>
          <t>First well</t>
        </is>
      </c>
      <c r="C4" t="inlineStr">
        <is>
          <t>Open 1st AQWA well to test separator; pressurize AQWA process; drain completion liquid to sea</t>
        </is>
      </c>
    </row>
    <row r="5">
      <c r="A5" t="n">
        <v>4</v>
      </c>
      <c r="B5" t="inlineStr">
        <is>
          <t>Pressurize CPP</t>
        </is>
      </c>
      <c r="C5" t="inlineStr">
        <is>
          <t>Route gas and liquid to CPP; pressurize CPP and flare tower; route liquid to liquid separation system</t>
        </is>
      </c>
    </row>
    <row r="6">
      <c r="A6" t="n">
        <v>5</v>
      </c>
      <c r="B6" t="inlineStr">
        <is>
          <t>Gas &amp; fuel gas</t>
        </is>
      </c>
      <c r="C6" t="inlineStr">
        <is>
          <t>Route gas to gas system and start fuel gas system (purging/blanket gas, fuel gas, chemical system)</t>
        </is>
      </c>
    </row>
    <row r="7">
      <c r="A7" t="n">
        <v>6</v>
      </c>
      <c r="B7" t="inlineStr">
        <is>
          <t>Second well</t>
        </is>
      </c>
      <c r="C7" t="inlineStr">
        <is>
          <t>Open 2nd AQWA well to test; switch 1st well out of test</t>
        </is>
      </c>
    </row>
    <row r="8">
      <c r="A8" t="n">
        <v>7</v>
      </c>
      <c r="B8" t="inlineStr">
        <is>
          <t>GTG to fuel gas</t>
        </is>
      </c>
      <c r="C8" t="inlineStr">
        <is>
          <t>Switch GTG to fuel gas; start 2nd GTG on fuel gas; start glycol regeneration and hot oil systems in cold circulation</t>
        </is>
      </c>
    </row>
    <row r="9">
      <c r="A9" t="n">
        <v>8</v>
      </c>
      <c r="B9" t="inlineStr">
        <is>
          <t>Third well</t>
        </is>
      </c>
      <c r="C9" t="inlineStr">
        <is>
          <t>Open 3rd AQWA well; switch 2nd well out of test and 3rd well to test</t>
        </is>
      </c>
    </row>
    <row r="10">
      <c r="A10" t="n">
        <v>9</v>
      </c>
      <c r="B10" t="inlineStr">
        <is>
          <t>Ramp up wells</t>
        </is>
      </c>
      <c r="C10" t="inlineStr">
        <is>
          <t>Open 4th–7th wells on AQWA, then 8th well and re-open other wells</t>
        </is>
      </c>
    </row>
    <row r="11">
      <c r="A11" t="n">
        <v>10</v>
      </c>
      <c r="B11" t="inlineStr">
        <is>
          <t>GTC &amp; WHRU</t>
        </is>
      </c>
      <c r="C11" t="inlineStr">
        <is>
          <t>Start GTC in circulation mode; start WHRU to heat hot oil and glycol regeneration</t>
        </is>
      </c>
    </row>
    <row r="12">
      <c r="A12" t="n">
        <v>11</v>
      </c>
      <c r="B12" t="inlineStr">
        <is>
          <t>Dew point</t>
        </is>
      </c>
      <c r="C12" t="inlineStr">
        <is>
          <t>Start dew point system (JT valve); open MRU bypass; switch dew point from JT valve to expander unit if needed</t>
        </is>
      </c>
    </row>
    <row r="13">
      <c r="A13" t="n">
        <v>12</v>
      </c>
      <c r="B13" t="inlineStr">
        <is>
          <t>MRU</t>
        </is>
      </c>
      <c r="C13" t="inlineStr">
        <is>
          <t>Start MRU; close bypass line when gas dew point is on spec</t>
        </is>
      </c>
    </row>
    <row r="14">
      <c r="A14" t="n">
        <v>13</v>
      </c>
      <c r="B14" t="inlineStr">
        <is>
          <t>Export gas</t>
        </is>
      </c>
      <c r="C14" t="inlineStr">
        <is>
          <t>Export gas to export gas pipeline</t>
        </is>
      </c>
    </row>
    <row r="15">
      <c r="A15" t="n">
        <v>14</v>
      </c>
      <c r="B15" t="inlineStr">
        <is>
          <t>Condensate &amp; PW</t>
        </is>
      </c>
      <c r="C15" t="inlineStr">
        <is>
          <t>Condensate to stabilizer in circulation (VRU recycle at turndown), export to FSO when on spec; produced water injected into AQWA wells if on spec, off-spec to FSO</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2026-10-26T03:49:02Z</dcterms:created>
  <dcterms:modified xmlns:dcterms="http://purl.org/dc/terms/" xmlns:xsi="http://www.w3.org/2001/XMLSchema-instance" xsi:type="dcterms:W3CDTF">2026-10-26T03:49:03Z</dcterms:modified>
</cp:coreProperties>
</file>